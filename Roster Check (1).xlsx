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0" documentId="8_{AE817789-9D47-4471-94A7-A51BFBDAF20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Wk 14 Nov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54" i="2" l="1" a="1"/>
  <c r="M254" i="2" s="1"/>
  <c r="L254" i="2" a="1"/>
  <c r="L254" i="2" s="1"/>
  <c r="M253" i="2" a="1"/>
  <c r="M253" i="2" s="1"/>
  <c r="L253" i="2" a="1"/>
  <c r="L253" i="2" s="1"/>
  <c r="M252" i="2" a="1"/>
  <c r="M252" i="2" s="1"/>
  <c r="L252" i="2" a="1"/>
  <c r="L252" i="2" s="1"/>
  <c r="M251" i="2" a="1"/>
  <c r="M251" i="2" s="1"/>
  <c r="L251" i="2" a="1"/>
  <c r="L251" i="2" s="1"/>
  <c r="M250" i="2" a="1"/>
  <c r="M250" i="2" s="1"/>
  <c r="L250" i="2" a="1"/>
  <c r="L250" i="2" s="1"/>
  <c r="M249" i="2" a="1"/>
  <c r="M249" i="2" s="1"/>
  <c r="L249" i="2" a="1"/>
  <c r="L249" i="2" s="1"/>
  <c r="M248" i="2" a="1"/>
  <c r="M248" i="2" s="1"/>
  <c r="L248" i="2" a="1"/>
  <c r="L248" i="2" s="1"/>
  <c r="M247" i="2" a="1"/>
  <c r="M247" i="2" s="1"/>
  <c r="L247" i="2" a="1"/>
  <c r="L247" i="2" s="1"/>
  <c r="M246" i="2" a="1"/>
  <c r="M246" i="2" s="1"/>
  <c r="L246" i="2" a="1"/>
  <c r="L246" i="2" s="1"/>
  <c r="M245" i="2" a="1"/>
  <c r="M245" i="2" s="1"/>
  <c r="L245" i="2" a="1"/>
  <c r="L245" i="2" s="1"/>
  <c r="M244" i="2" a="1"/>
  <c r="M244" i="2" s="1"/>
  <c r="L244" i="2" a="1"/>
  <c r="L244" i="2" s="1"/>
  <c r="M243" i="2" a="1"/>
  <c r="M243" i="2" s="1"/>
  <c r="L243" i="2" a="1"/>
  <c r="L243" i="2" s="1"/>
  <c r="M242" i="2" a="1"/>
  <c r="M242" i="2" s="1"/>
  <c r="L242" i="2" a="1"/>
  <c r="L242" i="2" s="1"/>
  <c r="M241" i="2" a="1"/>
  <c r="M241" i="2" s="1"/>
  <c r="L241" i="2" a="1"/>
  <c r="L241" i="2" s="1"/>
  <c r="M240" i="2" a="1"/>
  <c r="M240" i="2" s="1"/>
  <c r="L240" i="2" a="1"/>
  <c r="L240" i="2" s="1"/>
  <c r="M239" i="2" a="1"/>
  <c r="M239" i="2" s="1"/>
  <c r="L239" i="2" a="1"/>
  <c r="L239" i="2" s="1"/>
  <c r="M238" i="2" a="1"/>
  <c r="M238" i="2" s="1"/>
  <c r="L238" i="2" a="1"/>
  <c r="L238" i="2" s="1"/>
  <c r="M237" i="2" a="1"/>
  <c r="M237" i="2" s="1"/>
  <c r="L237" i="2" a="1"/>
  <c r="L237" i="2" s="1"/>
  <c r="M236" i="2" a="1"/>
  <c r="M236" i="2" s="1"/>
  <c r="L236" i="2" a="1"/>
  <c r="L236" i="2" s="1"/>
  <c r="M235" i="2" a="1"/>
  <c r="M235" i="2" s="1"/>
  <c r="L235" i="2" a="1"/>
  <c r="L235" i="2" s="1"/>
  <c r="M234" i="2" a="1"/>
  <c r="M234" i="2" s="1"/>
  <c r="L234" i="2" a="1"/>
  <c r="L234" i="2" s="1"/>
  <c r="M233" i="2" a="1"/>
  <c r="M233" i="2" s="1"/>
  <c r="L233" i="2" a="1"/>
  <c r="L233" i="2" s="1"/>
  <c r="M232" i="2" a="1"/>
  <c r="M232" i="2" s="1"/>
  <c r="L232" i="2" a="1"/>
  <c r="L232" i="2" s="1"/>
  <c r="M231" i="2" a="1"/>
  <c r="M231" i="2" s="1"/>
  <c r="L231" i="2" a="1"/>
  <c r="L231" i="2" s="1"/>
  <c r="M230" i="2" a="1"/>
  <c r="M230" i="2" s="1"/>
  <c r="L230" i="2" a="1"/>
  <c r="L230" i="2" s="1"/>
  <c r="M229" i="2" a="1"/>
  <c r="M229" i="2" s="1"/>
  <c r="L229" i="2" a="1"/>
  <c r="L229" i="2" s="1"/>
  <c r="M228" i="2" a="1"/>
  <c r="M228" i="2" s="1"/>
  <c r="L228" i="2" a="1"/>
  <c r="L228" i="2" s="1"/>
  <c r="M227" i="2" a="1"/>
  <c r="M227" i="2" s="1"/>
  <c r="L227" i="2" a="1"/>
  <c r="L227" i="2" s="1"/>
  <c r="M226" i="2" a="1"/>
  <c r="M226" i="2" s="1"/>
  <c r="L226" i="2" a="1"/>
  <c r="L226" i="2" s="1"/>
  <c r="M225" i="2" a="1"/>
  <c r="M225" i="2" s="1"/>
  <c r="L225" i="2" a="1"/>
  <c r="L225" i="2" s="1"/>
  <c r="M224" i="2" a="1"/>
  <c r="M224" i="2" s="1"/>
  <c r="L224" i="2" a="1"/>
  <c r="L224" i="2" s="1"/>
  <c r="M223" i="2" a="1"/>
  <c r="M223" i="2" s="1"/>
  <c r="L223" i="2" a="1"/>
  <c r="L223" i="2" s="1"/>
  <c r="M222" i="2" a="1"/>
  <c r="M222" i="2" s="1"/>
  <c r="L222" i="2" a="1"/>
  <c r="L222" i="2" s="1"/>
  <c r="M221" i="2" a="1"/>
  <c r="M221" i="2" s="1"/>
  <c r="L221" i="2" a="1"/>
  <c r="L221" i="2" s="1"/>
  <c r="M220" i="2" a="1"/>
  <c r="M220" i="2" s="1"/>
  <c r="L220" i="2" a="1"/>
  <c r="L220" i="2" s="1"/>
  <c r="M219" i="2" a="1"/>
  <c r="M219" i="2" s="1"/>
  <c r="L219" i="2" a="1"/>
  <c r="L219" i="2" s="1"/>
  <c r="M218" i="2" a="1"/>
  <c r="M218" i="2" s="1"/>
  <c r="L218" i="2" a="1"/>
  <c r="L218" i="2" s="1"/>
  <c r="M217" i="2" a="1"/>
  <c r="M217" i="2" s="1"/>
  <c r="L217" i="2" a="1"/>
  <c r="L217" i="2" s="1"/>
  <c r="M216" i="2" a="1"/>
  <c r="M216" i="2" s="1"/>
  <c r="L216" i="2" a="1"/>
  <c r="L216" i="2" s="1"/>
  <c r="M215" i="2" a="1"/>
  <c r="M215" i="2" s="1"/>
  <c r="L215" i="2" a="1"/>
  <c r="L215" i="2" s="1"/>
  <c r="M214" i="2" a="1"/>
  <c r="M214" i="2" s="1"/>
  <c r="L214" i="2" a="1"/>
  <c r="L214" i="2" s="1"/>
  <c r="M213" i="2" a="1"/>
  <c r="M213" i="2" s="1"/>
  <c r="L213" i="2" a="1"/>
  <c r="L213" i="2" s="1"/>
  <c r="M212" i="2" a="1"/>
  <c r="M212" i="2" s="1"/>
  <c r="L212" i="2" a="1"/>
  <c r="L212" i="2" s="1"/>
  <c r="M211" i="2" a="1"/>
  <c r="M211" i="2" s="1"/>
  <c r="L211" i="2" a="1"/>
  <c r="L211" i="2" s="1"/>
  <c r="M210" i="2" a="1"/>
  <c r="M210" i="2" s="1"/>
  <c r="L210" i="2" a="1"/>
  <c r="L210" i="2" s="1"/>
  <c r="M209" i="2" a="1"/>
  <c r="M209" i="2" s="1"/>
  <c r="L209" i="2" a="1"/>
  <c r="L209" i="2" s="1"/>
  <c r="M208" i="2" a="1"/>
  <c r="M208" i="2" s="1"/>
  <c r="L208" i="2" a="1"/>
  <c r="L208" i="2" s="1"/>
  <c r="M207" i="2" a="1"/>
  <c r="M207" i="2" s="1"/>
  <c r="L207" i="2" a="1"/>
  <c r="L207" i="2" s="1"/>
  <c r="M206" i="2" a="1"/>
  <c r="M206" i="2" s="1"/>
  <c r="L206" i="2" a="1"/>
  <c r="L206" i="2" s="1"/>
  <c r="M205" i="2" a="1"/>
  <c r="M205" i="2" s="1"/>
  <c r="L205" i="2" a="1"/>
  <c r="L205" i="2" s="1"/>
  <c r="M204" i="2" a="1"/>
  <c r="M204" i="2" s="1"/>
  <c r="L204" i="2" a="1"/>
  <c r="L204" i="2" s="1"/>
  <c r="M203" i="2" a="1"/>
  <c r="M203" i="2" s="1"/>
  <c r="L203" i="2" a="1"/>
  <c r="L203" i="2" s="1"/>
  <c r="M202" i="2" a="1"/>
  <c r="M202" i="2" s="1"/>
  <c r="L202" i="2" a="1"/>
  <c r="L202" i="2" s="1"/>
  <c r="M201" i="2" a="1"/>
  <c r="M201" i="2" s="1"/>
  <c r="L201" i="2" a="1"/>
  <c r="L201" i="2" s="1"/>
  <c r="M200" i="2" a="1"/>
  <c r="M200" i="2" s="1"/>
  <c r="L200" i="2" a="1"/>
  <c r="L200" i="2" s="1"/>
  <c r="M199" i="2" a="1"/>
  <c r="M199" i="2" s="1"/>
  <c r="L199" i="2" a="1"/>
  <c r="L199" i="2" s="1"/>
  <c r="M198" i="2" a="1"/>
  <c r="M198" i="2" s="1"/>
  <c r="L198" i="2" a="1"/>
  <c r="L198" i="2" s="1"/>
  <c r="M197" i="2" a="1"/>
  <c r="M197" i="2" s="1"/>
  <c r="L197" i="2" a="1"/>
  <c r="L197" i="2" s="1"/>
  <c r="M196" i="2" a="1"/>
  <c r="M196" i="2" s="1"/>
  <c r="L196" i="2" a="1"/>
  <c r="L196" i="2" s="1"/>
  <c r="M195" i="2" a="1"/>
  <c r="M195" i="2" s="1"/>
  <c r="L195" i="2" a="1"/>
  <c r="L195" i="2" s="1"/>
  <c r="M194" i="2" a="1"/>
  <c r="M194" i="2" s="1"/>
  <c r="L194" i="2" a="1"/>
  <c r="L194" i="2" s="1"/>
  <c r="M193" i="2" a="1"/>
  <c r="M193" i="2" s="1"/>
  <c r="L193" i="2" a="1"/>
  <c r="L193" i="2" s="1"/>
  <c r="M192" i="2" a="1"/>
  <c r="M192" i="2" s="1"/>
  <c r="L192" i="2" a="1"/>
  <c r="L192" i="2" s="1"/>
  <c r="M191" i="2" a="1"/>
  <c r="M191" i="2" s="1"/>
  <c r="L191" i="2" a="1"/>
  <c r="L191" i="2" s="1"/>
  <c r="M190" i="2" a="1"/>
  <c r="M190" i="2" s="1"/>
  <c r="L190" i="2" a="1"/>
  <c r="L190" i="2" s="1"/>
  <c r="M189" i="2" a="1"/>
  <c r="M189" i="2" s="1"/>
  <c r="L189" i="2" a="1"/>
  <c r="L189" i="2" s="1"/>
  <c r="M188" i="2" a="1"/>
  <c r="M188" i="2" s="1"/>
  <c r="L188" i="2" a="1"/>
  <c r="L188" i="2" s="1"/>
  <c r="M187" i="2" a="1"/>
  <c r="M187" i="2" s="1"/>
  <c r="L187" i="2" a="1"/>
  <c r="L187" i="2" s="1"/>
  <c r="M186" i="2" a="1"/>
  <c r="M186" i="2" s="1"/>
  <c r="L186" i="2" a="1"/>
  <c r="L186" i="2" s="1"/>
  <c r="M185" i="2" a="1"/>
  <c r="M185" i="2" s="1"/>
  <c r="L185" i="2" a="1"/>
  <c r="L185" i="2" s="1"/>
  <c r="M184" i="2" a="1"/>
  <c r="M184" i="2" s="1"/>
  <c r="L184" i="2" a="1"/>
  <c r="L184" i="2" s="1"/>
  <c r="M183" i="2" a="1"/>
  <c r="M183" i="2" s="1"/>
  <c r="L183" i="2" a="1"/>
  <c r="L183" i="2" s="1"/>
  <c r="M182" i="2" a="1"/>
  <c r="M182" i="2" s="1"/>
  <c r="L182" i="2" a="1"/>
  <c r="L182" i="2" s="1"/>
  <c r="M181" i="2" a="1"/>
  <c r="M181" i="2" s="1"/>
  <c r="L181" i="2" a="1"/>
  <c r="L181" i="2" s="1"/>
  <c r="M180" i="2" a="1"/>
  <c r="M180" i="2" s="1"/>
  <c r="L180" i="2" a="1"/>
  <c r="L180" i="2" s="1"/>
  <c r="M179" i="2" a="1"/>
  <c r="M179" i="2" s="1"/>
  <c r="L179" i="2" a="1"/>
  <c r="L179" i="2" s="1"/>
  <c r="M178" i="2" a="1"/>
  <c r="M178" i="2" s="1"/>
  <c r="L178" i="2" a="1"/>
  <c r="L178" i="2" s="1"/>
  <c r="M177" i="2" a="1"/>
  <c r="M177" i="2" s="1"/>
  <c r="L177" i="2" a="1"/>
  <c r="L177" i="2" s="1"/>
  <c r="M176" i="2" a="1"/>
  <c r="M176" i="2" s="1"/>
  <c r="L176" i="2" a="1"/>
  <c r="L176" i="2" s="1"/>
  <c r="M175" i="2" a="1"/>
  <c r="M175" i="2" s="1"/>
  <c r="L175" i="2" a="1"/>
  <c r="L175" i="2" s="1"/>
  <c r="M174" i="2" a="1"/>
  <c r="M174" i="2" s="1"/>
  <c r="L174" i="2" a="1"/>
  <c r="L174" i="2" s="1"/>
  <c r="M173" i="2" a="1"/>
  <c r="M173" i="2" s="1"/>
  <c r="L173" i="2" a="1"/>
  <c r="L173" i="2" s="1"/>
  <c r="M172" i="2" a="1"/>
  <c r="M172" i="2" s="1"/>
  <c r="L172" i="2" a="1"/>
  <c r="L172" i="2" s="1"/>
  <c r="M171" i="2" a="1"/>
  <c r="M171" i="2" s="1"/>
  <c r="L171" i="2" a="1"/>
  <c r="L171" i="2" s="1"/>
  <c r="M170" i="2" a="1"/>
  <c r="M170" i="2" s="1"/>
  <c r="L170" i="2" a="1"/>
  <c r="L170" i="2" s="1"/>
  <c r="M169" i="2" a="1"/>
  <c r="M169" i="2" s="1"/>
  <c r="L169" i="2" a="1"/>
  <c r="L169" i="2" s="1"/>
  <c r="M168" i="2" a="1"/>
  <c r="M168" i="2" s="1"/>
  <c r="L168" i="2" a="1"/>
  <c r="L168" i="2" s="1"/>
  <c r="M167" i="2" a="1"/>
  <c r="M167" i="2" s="1"/>
  <c r="L167" i="2" a="1"/>
  <c r="L167" i="2" s="1"/>
  <c r="M166" i="2" a="1"/>
  <c r="M166" i="2" s="1"/>
  <c r="L166" i="2" a="1"/>
  <c r="L166" i="2" s="1"/>
  <c r="M165" i="2" a="1"/>
  <c r="M165" i="2" s="1"/>
  <c r="L165" i="2" a="1"/>
  <c r="L165" i="2" s="1"/>
  <c r="M164" i="2" a="1"/>
  <c r="M164" i="2" s="1"/>
  <c r="L164" i="2" a="1"/>
  <c r="L164" i="2" s="1"/>
  <c r="M163" i="2" a="1"/>
  <c r="M163" i="2" s="1"/>
  <c r="L163" i="2" a="1"/>
  <c r="L163" i="2" s="1"/>
  <c r="M162" i="2" a="1"/>
  <c r="M162" i="2" s="1"/>
  <c r="L162" i="2" a="1"/>
  <c r="L162" i="2" s="1"/>
  <c r="M161" i="2" a="1"/>
  <c r="M161" i="2" s="1"/>
  <c r="L161" i="2" a="1"/>
  <c r="L161" i="2" s="1"/>
  <c r="M160" i="2" a="1"/>
  <c r="M160" i="2" s="1"/>
  <c r="L160" i="2" a="1"/>
  <c r="L160" i="2" s="1"/>
  <c r="M159" i="2" a="1"/>
  <c r="M159" i="2" s="1"/>
  <c r="L159" i="2" a="1"/>
  <c r="L159" i="2" s="1"/>
  <c r="M158" i="2" a="1"/>
  <c r="M158" i="2" s="1"/>
  <c r="L158" i="2" a="1"/>
  <c r="L158" i="2" s="1"/>
  <c r="M157" i="2" a="1"/>
  <c r="M157" i="2" s="1"/>
  <c r="L157" i="2" a="1"/>
  <c r="L157" i="2" s="1"/>
  <c r="M156" i="2" a="1"/>
  <c r="M156" i="2" s="1"/>
  <c r="L156" i="2" a="1"/>
  <c r="L156" i="2" s="1"/>
  <c r="M155" i="2" a="1"/>
  <c r="M155" i="2" s="1"/>
  <c r="L155" i="2" a="1"/>
  <c r="L155" i="2" s="1"/>
  <c r="M154" i="2" a="1"/>
  <c r="M154" i="2" s="1"/>
  <c r="L154" i="2" a="1"/>
  <c r="L154" i="2" s="1"/>
  <c r="M153" i="2" a="1"/>
  <c r="M153" i="2" s="1"/>
  <c r="L153" i="2" a="1"/>
  <c r="L153" i="2" s="1"/>
  <c r="M152" i="2" a="1"/>
  <c r="M152" i="2" s="1"/>
  <c r="L152" i="2" a="1"/>
  <c r="L152" i="2" s="1"/>
  <c r="M151" i="2" a="1"/>
  <c r="M151" i="2" s="1"/>
  <c r="L151" i="2" a="1"/>
  <c r="L151" i="2" s="1"/>
  <c r="M150" i="2" a="1"/>
  <c r="M150" i="2" s="1"/>
  <c r="L150" i="2" a="1"/>
  <c r="L150" i="2" s="1"/>
  <c r="M149" i="2" a="1"/>
  <c r="M149" i="2" s="1"/>
  <c r="L149" i="2" a="1"/>
  <c r="L149" i="2" s="1"/>
  <c r="M148" i="2" a="1"/>
  <c r="M148" i="2" s="1"/>
  <c r="L148" i="2" a="1"/>
  <c r="L148" i="2" s="1"/>
  <c r="M147" i="2" a="1"/>
  <c r="M147" i="2" s="1"/>
  <c r="L147" i="2" a="1"/>
  <c r="L147" i="2" s="1"/>
  <c r="M146" i="2" a="1"/>
  <c r="M146" i="2" s="1"/>
  <c r="L146" i="2" a="1"/>
  <c r="L146" i="2" s="1"/>
  <c r="M145" i="2" a="1"/>
  <c r="M145" i="2" s="1"/>
  <c r="L145" i="2" a="1"/>
  <c r="L145" i="2" s="1"/>
  <c r="M144" i="2" a="1"/>
  <c r="M144" i="2" s="1"/>
  <c r="L144" i="2" a="1"/>
  <c r="L144" i="2" s="1"/>
  <c r="M143" i="2" a="1"/>
  <c r="M143" i="2" s="1"/>
  <c r="L143" i="2" a="1"/>
  <c r="L143" i="2" s="1"/>
  <c r="M142" i="2" a="1"/>
  <c r="M142" i="2" s="1"/>
  <c r="L142" i="2" a="1"/>
  <c r="L142" i="2" s="1"/>
  <c r="M141" i="2" a="1"/>
  <c r="M141" i="2" s="1"/>
  <c r="L141" i="2" a="1"/>
  <c r="L141" i="2" s="1"/>
  <c r="M140" i="2" a="1"/>
  <c r="M140" i="2" s="1"/>
  <c r="L140" i="2" a="1"/>
  <c r="L140" i="2" s="1"/>
  <c r="M139" i="2" a="1"/>
  <c r="M139" i="2" s="1"/>
  <c r="L139" i="2" a="1"/>
  <c r="L139" i="2" s="1"/>
  <c r="M138" i="2" a="1"/>
  <c r="M138" i="2" s="1"/>
  <c r="L138" i="2" a="1"/>
  <c r="L138" i="2" s="1"/>
  <c r="M137" i="2" a="1"/>
  <c r="M137" i="2" s="1"/>
  <c r="L137" i="2" a="1"/>
  <c r="L137" i="2" s="1"/>
  <c r="M136" i="2" a="1"/>
  <c r="M136" i="2" s="1"/>
  <c r="L136" i="2" a="1"/>
  <c r="L136" i="2" s="1"/>
  <c r="M135" i="2" a="1"/>
  <c r="M135" i="2" s="1"/>
  <c r="L135" i="2" a="1"/>
  <c r="L135" i="2" s="1"/>
  <c r="M134" i="2" a="1"/>
  <c r="M134" i="2" s="1"/>
  <c r="L134" i="2" a="1"/>
  <c r="L134" i="2" s="1"/>
  <c r="M133" i="2" a="1"/>
  <c r="M133" i="2" s="1"/>
  <c r="L133" i="2" a="1"/>
  <c r="L133" i="2" s="1"/>
  <c r="M132" i="2" a="1"/>
  <c r="M132" i="2" s="1"/>
  <c r="L132" i="2" a="1"/>
  <c r="L132" i="2" s="1"/>
  <c r="M131" i="2" a="1"/>
  <c r="M131" i="2" s="1"/>
  <c r="L131" i="2" a="1"/>
  <c r="L131" i="2" s="1"/>
  <c r="M130" i="2" a="1"/>
  <c r="M130" i="2" s="1"/>
  <c r="L130" i="2" a="1"/>
  <c r="L130" i="2" s="1"/>
  <c r="M129" i="2" a="1"/>
  <c r="M129" i="2" s="1"/>
  <c r="L129" i="2" a="1"/>
  <c r="L129" i="2" s="1"/>
  <c r="M128" i="2" a="1"/>
  <c r="M128" i="2" s="1"/>
  <c r="L128" i="2" a="1"/>
  <c r="L128" i="2" s="1"/>
  <c r="M127" i="2" a="1"/>
  <c r="M127" i="2" s="1"/>
  <c r="L127" i="2" a="1"/>
  <c r="L127" i="2" s="1"/>
  <c r="M126" i="2" a="1"/>
  <c r="M126" i="2" s="1"/>
  <c r="L126" i="2" a="1"/>
  <c r="L126" i="2" s="1"/>
  <c r="M125" i="2" a="1"/>
  <c r="M125" i="2" s="1"/>
  <c r="L125" i="2" a="1"/>
  <c r="L125" i="2" s="1"/>
  <c r="M124" i="2" a="1"/>
  <c r="M124" i="2" s="1"/>
  <c r="L124" i="2" a="1"/>
  <c r="L124" i="2" s="1"/>
  <c r="M123" i="2" a="1"/>
  <c r="M123" i="2" s="1"/>
  <c r="L123" i="2" a="1"/>
  <c r="L123" i="2" s="1"/>
  <c r="M122" i="2" a="1"/>
  <c r="M122" i="2" s="1"/>
  <c r="L122" i="2" a="1"/>
  <c r="L122" i="2" s="1"/>
  <c r="M121" i="2" a="1"/>
  <c r="M121" i="2" s="1"/>
  <c r="L121" i="2" a="1"/>
  <c r="L121" i="2" s="1"/>
  <c r="M120" i="2" a="1"/>
  <c r="M120" i="2" s="1"/>
  <c r="L120" i="2" a="1"/>
  <c r="L120" i="2" s="1"/>
  <c r="M119" i="2" a="1"/>
  <c r="M119" i="2" s="1"/>
  <c r="L119" i="2" a="1"/>
  <c r="L119" i="2" s="1"/>
  <c r="M118" i="2" a="1"/>
  <c r="M118" i="2" s="1"/>
  <c r="L118" i="2" a="1"/>
  <c r="L118" i="2" s="1"/>
  <c r="M117" i="2" a="1"/>
  <c r="M117" i="2" s="1"/>
  <c r="L117" i="2" a="1"/>
  <c r="L117" i="2" s="1"/>
  <c r="M116" i="2" a="1"/>
  <c r="M116" i="2" s="1"/>
  <c r="L116" i="2" a="1"/>
  <c r="L116" i="2" s="1"/>
  <c r="M115" i="2" a="1"/>
  <c r="M115" i="2" s="1"/>
  <c r="L115" i="2" a="1"/>
  <c r="L115" i="2" s="1"/>
  <c r="M114" i="2" a="1"/>
  <c r="M114" i="2" s="1"/>
  <c r="L114" i="2" a="1"/>
  <c r="L114" i="2" s="1"/>
  <c r="M113" i="2" a="1"/>
  <c r="M113" i="2" s="1"/>
  <c r="L113" i="2" a="1"/>
  <c r="L113" i="2" s="1"/>
  <c r="M112" i="2" a="1"/>
  <c r="M112" i="2" s="1"/>
  <c r="L112" i="2" a="1"/>
  <c r="L112" i="2" s="1"/>
  <c r="M111" i="2" a="1"/>
  <c r="M111" i="2" s="1"/>
  <c r="L111" i="2" a="1"/>
  <c r="L111" i="2" s="1"/>
  <c r="M110" i="2" a="1"/>
  <c r="M110" i="2" s="1"/>
  <c r="L110" i="2" a="1"/>
  <c r="L110" i="2" s="1"/>
  <c r="M109" i="2" a="1"/>
  <c r="M109" i="2" s="1"/>
  <c r="L109" i="2" a="1"/>
  <c r="L109" i="2" s="1"/>
  <c r="M108" i="2" a="1"/>
  <c r="M108" i="2" s="1"/>
  <c r="L108" i="2" a="1"/>
  <c r="L108" i="2" s="1"/>
  <c r="M107" i="2" a="1"/>
  <c r="M107" i="2" s="1"/>
  <c r="L107" i="2" a="1"/>
  <c r="L107" i="2" s="1"/>
  <c r="M106" i="2" a="1"/>
  <c r="M106" i="2" s="1"/>
  <c r="L106" i="2" a="1"/>
  <c r="L106" i="2" s="1"/>
  <c r="M105" i="2" a="1"/>
  <c r="M105" i="2" s="1"/>
  <c r="L105" i="2" a="1"/>
  <c r="L105" i="2" s="1"/>
  <c r="M104" i="2" a="1"/>
  <c r="M104" i="2" s="1"/>
  <c r="L104" i="2" a="1"/>
  <c r="L104" i="2" s="1"/>
  <c r="M103" i="2" a="1"/>
  <c r="M103" i="2" s="1"/>
  <c r="L103" i="2" a="1"/>
  <c r="L103" i="2" s="1"/>
  <c r="M102" i="2" a="1"/>
  <c r="M102" i="2" s="1"/>
  <c r="L102" i="2" a="1"/>
  <c r="L102" i="2" s="1"/>
  <c r="M101" i="2" a="1"/>
  <c r="M101" i="2" s="1"/>
  <c r="L101" i="2" a="1"/>
  <c r="L101" i="2" s="1"/>
  <c r="M100" i="2" a="1"/>
  <c r="M100" i="2" s="1"/>
  <c r="L100" i="2" a="1"/>
  <c r="L100" i="2" s="1"/>
  <c r="M99" i="2" a="1"/>
  <c r="M99" i="2" s="1"/>
  <c r="L99" i="2" a="1"/>
  <c r="L99" i="2" s="1"/>
  <c r="M98" i="2" a="1"/>
  <c r="M98" i="2" s="1"/>
  <c r="L98" i="2" a="1"/>
  <c r="L98" i="2" s="1"/>
  <c r="M97" i="2" a="1"/>
  <c r="M97" i="2" s="1"/>
  <c r="L97" i="2" a="1"/>
  <c r="L97" i="2" s="1"/>
  <c r="M96" i="2" a="1"/>
  <c r="M96" i="2" s="1"/>
  <c r="L96" i="2" a="1"/>
  <c r="L96" i="2" s="1"/>
  <c r="M95" i="2" a="1"/>
  <c r="M95" i="2" s="1"/>
  <c r="L95" i="2" a="1"/>
  <c r="L95" i="2" s="1"/>
  <c r="M94" i="2" a="1"/>
  <c r="M94" i="2" s="1"/>
  <c r="L94" i="2" a="1"/>
  <c r="L94" i="2" s="1"/>
  <c r="M93" i="2" a="1"/>
  <c r="M93" i="2" s="1"/>
  <c r="L93" i="2" a="1"/>
  <c r="L93" i="2" s="1"/>
  <c r="M92" i="2" a="1"/>
  <c r="M92" i="2" s="1"/>
  <c r="L92" i="2" a="1"/>
  <c r="L92" i="2" s="1"/>
  <c r="M91" i="2" a="1"/>
  <c r="M91" i="2" s="1"/>
  <c r="L91" i="2" a="1"/>
  <c r="L91" i="2" s="1"/>
  <c r="M90" i="2" a="1"/>
  <c r="M90" i="2" s="1"/>
  <c r="L90" i="2" a="1"/>
  <c r="L90" i="2" s="1"/>
  <c r="M89" i="2" a="1"/>
  <c r="M89" i="2" s="1"/>
  <c r="L89" i="2" a="1"/>
  <c r="L89" i="2" s="1"/>
  <c r="M88" i="2" a="1"/>
  <c r="M88" i="2" s="1"/>
  <c r="L88" i="2" a="1"/>
  <c r="L88" i="2" s="1"/>
  <c r="M87" i="2" a="1"/>
  <c r="M87" i="2" s="1"/>
  <c r="L87" i="2" a="1"/>
  <c r="L87" i="2" s="1"/>
  <c r="M86" i="2" a="1"/>
  <c r="M86" i="2" s="1"/>
  <c r="L86" i="2" a="1"/>
  <c r="L86" i="2" s="1"/>
  <c r="M85" i="2" a="1"/>
  <c r="M85" i="2" s="1"/>
  <c r="L85" i="2" a="1"/>
  <c r="L85" i="2" s="1"/>
  <c r="M84" i="2" a="1"/>
  <c r="M84" i="2" s="1"/>
  <c r="L84" i="2" a="1"/>
  <c r="L84" i="2" s="1"/>
  <c r="M83" i="2" a="1"/>
  <c r="M83" i="2" s="1"/>
  <c r="L83" i="2" a="1"/>
  <c r="L83" i="2" s="1"/>
  <c r="M82" i="2" a="1"/>
  <c r="M82" i="2" s="1"/>
  <c r="L82" i="2" a="1"/>
  <c r="L82" i="2" s="1"/>
  <c r="M81" i="2" a="1"/>
  <c r="M81" i="2" s="1"/>
  <c r="L81" i="2" a="1"/>
  <c r="L81" i="2" s="1"/>
  <c r="M80" i="2" a="1"/>
  <c r="M80" i="2" s="1"/>
  <c r="L80" i="2" a="1"/>
  <c r="L80" i="2" s="1"/>
  <c r="M79" i="2" a="1"/>
  <c r="M79" i="2" s="1"/>
  <c r="L79" i="2" a="1"/>
  <c r="L79" i="2" s="1"/>
  <c r="M78" i="2" a="1"/>
  <c r="M78" i="2" s="1"/>
  <c r="L78" i="2" a="1"/>
  <c r="L78" i="2" s="1"/>
  <c r="M77" i="2" a="1"/>
  <c r="M77" i="2" s="1"/>
  <c r="L77" i="2" a="1"/>
  <c r="L77" i="2" s="1"/>
  <c r="M76" i="2" a="1"/>
  <c r="M76" i="2" s="1"/>
  <c r="L76" i="2" a="1"/>
  <c r="L76" i="2" s="1"/>
  <c r="M75" i="2" a="1"/>
  <c r="M75" i="2" s="1"/>
  <c r="L75" i="2" a="1"/>
  <c r="L75" i="2" s="1"/>
  <c r="M74" i="2" a="1"/>
  <c r="M74" i="2" s="1"/>
  <c r="L74" i="2" a="1"/>
  <c r="L74" i="2" s="1"/>
  <c r="M73" i="2" a="1"/>
  <c r="M73" i="2" s="1"/>
  <c r="L73" i="2" a="1"/>
  <c r="L73" i="2" s="1"/>
  <c r="M72" i="2" a="1"/>
  <c r="M72" i="2" s="1"/>
  <c r="L72" i="2" a="1"/>
  <c r="L72" i="2" s="1"/>
  <c r="M71" i="2" a="1"/>
  <c r="M71" i="2" s="1"/>
  <c r="L71" i="2" a="1"/>
  <c r="L71" i="2" s="1"/>
  <c r="M70" i="2" a="1"/>
  <c r="M70" i="2" s="1"/>
  <c r="L70" i="2" a="1"/>
  <c r="L70" i="2" s="1"/>
  <c r="M69" i="2" a="1"/>
  <c r="M69" i="2" s="1"/>
  <c r="L69" i="2" a="1"/>
  <c r="L69" i="2" s="1"/>
  <c r="M68" i="2" a="1"/>
  <c r="M68" i="2" s="1"/>
  <c r="L68" i="2" a="1"/>
  <c r="L68" i="2" s="1"/>
  <c r="M67" i="2" a="1"/>
  <c r="M67" i="2" s="1"/>
  <c r="L67" i="2" a="1"/>
  <c r="L67" i="2" s="1"/>
  <c r="M66" i="2" a="1"/>
  <c r="M66" i="2" s="1"/>
  <c r="L66" i="2" a="1"/>
  <c r="L66" i="2" s="1"/>
  <c r="M65" i="2" a="1"/>
  <c r="M65" i="2" s="1"/>
  <c r="L65" i="2" a="1"/>
  <c r="L65" i="2" s="1"/>
  <c r="M64" i="2" a="1"/>
  <c r="M64" i="2" s="1"/>
  <c r="L64" i="2" a="1"/>
  <c r="L64" i="2" s="1"/>
  <c r="M63" i="2" a="1"/>
  <c r="M63" i="2" s="1"/>
  <c r="L63" i="2" a="1"/>
  <c r="L63" i="2" s="1"/>
  <c r="M62" i="2" a="1"/>
  <c r="M62" i="2" s="1"/>
  <c r="L62" i="2" a="1"/>
  <c r="L62" i="2" s="1"/>
  <c r="M61" i="2" a="1"/>
  <c r="M61" i="2" s="1"/>
  <c r="L61" i="2" a="1"/>
  <c r="L61" i="2" s="1"/>
  <c r="M60" i="2" a="1"/>
  <c r="M60" i="2" s="1"/>
  <c r="L60" i="2" a="1"/>
  <c r="L60" i="2" s="1"/>
  <c r="M59" i="2" a="1"/>
  <c r="M59" i="2" s="1"/>
  <c r="L59" i="2" a="1"/>
  <c r="L59" i="2" s="1"/>
  <c r="M58" i="2" a="1"/>
  <c r="M58" i="2" s="1"/>
  <c r="L58" i="2" a="1"/>
  <c r="L58" i="2" s="1"/>
  <c r="M57" i="2" a="1"/>
  <c r="M57" i="2" s="1"/>
  <c r="L57" i="2" a="1"/>
  <c r="L57" i="2" s="1"/>
  <c r="M56" i="2" a="1"/>
  <c r="M56" i="2" s="1"/>
  <c r="L56" i="2" a="1"/>
  <c r="L56" i="2" s="1"/>
  <c r="M55" i="2" a="1"/>
  <c r="M55" i="2" s="1"/>
  <c r="L55" i="2" a="1"/>
  <c r="L55" i="2" s="1"/>
  <c r="M54" i="2" a="1"/>
  <c r="M54" i="2" s="1"/>
  <c r="L54" i="2" a="1"/>
  <c r="L54" i="2" s="1"/>
  <c r="M53" i="2" a="1"/>
  <c r="M53" i="2" s="1"/>
  <c r="L53" i="2" a="1"/>
  <c r="L53" i="2" s="1"/>
  <c r="M52" i="2" a="1"/>
  <c r="M52" i="2" s="1"/>
  <c r="L52" i="2" a="1"/>
  <c r="L52" i="2" s="1"/>
  <c r="M51" i="2" a="1"/>
  <c r="M51" i="2" s="1"/>
  <c r="L51" i="2" a="1"/>
  <c r="L51" i="2" s="1"/>
  <c r="M50" i="2" a="1"/>
  <c r="M50" i="2" s="1"/>
  <c r="L50" i="2" a="1"/>
  <c r="L50" i="2" s="1"/>
  <c r="M49" i="2" a="1"/>
  <c r="M49" i="2" s="1"/>
  <c r="L49" i="2" a="1"/>
  <c r="L49" i="2" s="1"/>
  <c r="M48" i="2" a="1"/>
  <c r="M48" i="2" s="1"/>
  <c r="L48" i="2" a="1"/>
  <c r="L48" i="2" s="1"/>
  <c r="M47" i="2" a="1"/>
  <c r="M47" i="2" s="1"/>
  <c r="L47" i="2" a="1"/>
  <c r="L47" i="2" s="1"/>
  <c r="M46" i="2" a="1"/>
  <c r="M46" i="2" s="1"/>
  <c r="L46" i="2" a="1"/>
  <c r="L46" i="2" s="1"/>
  <c r="M45" i="2" a="1"/>
  <c r="M45" i="2" s="1"/>
  <c r="L45" i="2" a="1"/>
  <c r="L45" i="2" s="1"/>
  <c r="M44" i="2" a="1"/>
  <c r="M44" i="2" s="1"/>
  <c r="L44" i="2" a="1"/>
  <c r="L44" i="2" s="1"/>
  <c r="M43" i="2" a="1"/>
  <c r="M43" i="2" s="1"/>
  <c r="L43" i="2" a="1"/>
  <c r="L43" i="2" s="1"/>
  <c r="M42" i="2" a="1"/>
  <c r="M42" i="2" s="1"/>
  <c r="L42" i="2" a="1"/>
  <c r="L42" i="2" s="1"/>
  <c r="M41" i="2" a="1"/>
  <c r="M41" i="2" s="1"/>
  <c r="L41" i="2" a="1"/>
  <c r="L41" i="2" s="1"/>
  <c r="M40" i="2" a="1"/>
  <c r="M40" i="2" s="1"/>
  <c r="L40" i="2" a="1"/>
  <c r="L40" i="2" s="1"/>
  <c r="M39" i="2" a="1"/>
  <c r="M39" i="2" s="1"/>
  <c r="L39" i="2" a="1"/>
  <c r="L39" i="2" s="1"/>
  <c r="M38" i="2" a="1"/>
  <c r="M38" i="2" s="1"/>
  <c r="L38" i="2" a="1"/>
  <c r="L38" i="2" s="1"/>
  <c r="M37" i="2" a="1"/>
  <c r="M37" i="2" s="1"/>
  <c r="L37" i="2" a="1"/>
  <c r="L37" i="2" s="1"/>
  <c r="M36" i="2" a="1"/>
  <c r="M36" i="2" s="1"/>
  <c r="L36" i="2" a="1"/>
  <c r="L36" i="2" s="1"/>
  <c r="M35" i="2" a="1"/>
  <c r="M35" i="2" s="1"/>
  <c r="L35" i="2" a="1"/>
  <c r="L35" i="2" s="1"/>
  <c r="AL34" i="2"/>
  <c r="AK34" i="2"/>
  <c r="AJ34" i="2"/>
  <c r="AI34" i="2"/>
  <c r="AH34" i="2"/>
  <c r="AG34" i="2"/>
  <c r="AF34" i="2"/>
  <c r="M34" i="2" a="1"/>
  <c r="M34" i="2" s="1"/>
  <c r="L34" i="2" a="1"/>
  <c r="L34" i="2" s="1"/>
  <c r="AL33" i="2"/>
  <c r="AK33" i="2"/>
  <c r="AJ33" i="2"/>
  <c r="AI33" i="2"/>
  <c r="AH33" i="2"/>
  <c r="AG33" i="2"/>
  <c r="AF33" i="2"/>
  <c r="M33" i="2" a="1"/>
  <c r="M33" i="2" s="1"/>
  <c r="L33" i="2" a="1"/>
  <c r="L33" i="2" s="1"/>
  <c r="AL32" i="2"/>
  <c r="AK32" i="2"/>
  <c r="AJ32" i="2"/>
  <c r="AI32" i="2"/>
  <c r="AH32" i="2"/>
  <c r="AG32" i="2"/>
  <c r="AF32" i="2"/>
  <c r="M32" i="2" a="1"/>
  <c r="M32" i="2" s="1"/>
  <c r="L32" i="2" a="1"/>
  <c r="L32" i="2" s="1"/>
  <c r="AL31" i="2"/>
  <c r="AK31" i="2"/>
  <c r="AJ31" i="2"/>
  <c r="AI31" i="2"/>
  <c r="AH31" i="2"/>
  <c r="AG31" i="2"/>
  <c r="AF31" i="2"/>
  <c r="M31" i="2" a="1"/>
  <c r="M31" i="2" s="1"/>
  <c r="L31" i="2" a="1"/>
  <c r="L31" i="2" s="1"/>
  <c r="AL30" i="2"/>
  <c r="AK30" i="2"/>
  <c r="AJ30" i="2"/>
  <c r="AI30" i="2"/>
  <c r="AH30" i="2"/>
  <c r="AG30" i="2"/>
  <c r="AF30" i="2"/>
  <c r="M30" i="2" a="1"/>
  <c r="M30" i="2" s="1"/>
  <c r="L30" i="2" a="1"/>
  <c r="L30" i="2" s="1"/>
  <c r="M29" i="2" a="1"/>
  <c r="M29" i="2" s="1"/>
  <c r="L29" i="2" a="1"/>
  <c r="L29" i="2" s="1"/>
  <c r="M28" i="2" a="1"/>
  <c r="M28" i="2" s="1"/>
  <c r="L28" i="2" a="1"/>
  <c r="L28" i="2" s="1"/>
  <c r="M27" i="2" a="1"/>
  <c r="M27" i="2" s="1"/>
  <c r="L27" i="2" a="1"/>
  <c r="L27" i="2" s="1"/>
  <c r="M26" i="2" a="1"/>
  <c r="M26" i="2" s="1"/>
  <c r="L26" i="2" a="1"/>
  <c r="L26" i="2" s="1"/>
  <c r="M25" i="2" a="1"/>
  <c r="M25" i="2" s="1"/>
  <c r="L25" i="2" a="1"/>
  <c r="L25" i="2" s="1"/>
  <c r="M24" i="2" a="1"/>
  <c r="M24" i="2" s="1"/>
  <c r="L24" i="2" a="1"/>
  <c r="L24" i="2" s="1"/>
  <c r="M23" i="2" a="1"/>
  <c r="M23" i="2" s="1"/>
  <c r="L23" i="2" a="1"/>
  <c r="L23" i="2" s="1"/>
  <c r="M22" i="2" a="1"/>
  <c r="M22" i="2" s="1"/>
  <c r="L22" i="2" a="1"/>
  <c r="L22" i="2" s="1"/>
  <c r="M21" i="2" a="1"/>
  <c r="M21" i="2" s="1"/>
  <c r="L21" i="2" a="1"/>
  <c r="L21" i="2" s="1"/>
  <c r="V20" i="2"/>
  <c r="M20" i="2" a="1"/>
  <c r="M20" i="2" s="1"/>
  <c r="L20" i="2" a="1"/>
  <c r="L20" i="2" s="1"/>
  <c r="V19" i="2"/>
  <c r="M19" i="2" a="1"/>
  <c r="M19" i="2" s="1"/>
  <c r="L19" i="2" a="1"/>
  <c r="L19" i="2" s="1"/>
  <c r="V18" i="2"/>
  <c r="M18" i="2" a="1"/>
  <c r="M18" i="2" s="1"/>
  <c r="L18" i="2" a="1"/>
  <c r="L18" i="2" s="1"/>
  <c r="V17" i="2"/>
  <c r="M17" i="2" a="1"/>
  <c r="M17" i="2" s="1"/>
  <c r="L17" i="2" a="1"/>
  <c r="L17" i="2" s="1"/>
  <c r="V16" i="2"/>
  <c r="M16" i="2" a="1"/>
  <c r="M16" i="2" s="1"/>
  <c r="L16" i="2" a="1"/>
  <c r="L16" i="2" s="1"/>
  <c r="V15" i="2"/>
  <c r="M15" i="2" a="1"/>
  <c r="M15" i="2" s="1"/>
  <c r="L15" i="2" a="1"/>
  <c r="L15" i="2" s="1"/>
  <c r="V14" i="2"/>
  <c r="M14" i="2" a="1"/>
  <c r="M14" i="2" s="1"/>
  <c r="L14" i="2" a="1"/>
  <c r="L14" i="2" s="1"/>
  <c r="AT13" i="2"/>
  <c r="AR13" i="2"/>
  <c r="AR15" i="2" s="1"/>
  <c r="V13" i="2"/>
  <c r="M13" i="2" a="1"/>
  <c r="M13" i="2" s="1"/>
  <c r="L13" i="2" a="1"/>
  <c r="L13" i="2" s="1"/>
  <c r="V12" i="2"/>
  <c r="M12" i="2" a="1"/>
  <c r="M12" i="2" s="1"/>
  <c r="L12" i="2" a="1"/>
  <c r="L12" i="2" s="1"/>
  <c r="V11" i="2"/>
  <c r="M11" i="2" a="1"/>
  <c r="M11" i="2" s="1"/>
  <c r="L11" i="2" a="1"/>
  <c r="L11" i="2" s="1"/>
  <c r="V10" i="2"/>
  <c r="M10" i="2" a="1"/>
  <c r="M10" i="2" s="1"/>
  <c r="L10" i="2" a="1"/>
  <c r="L10" i="2" s="1"/>
  <c r="V9" i="2"/>
  <c r="M9" i="2" a="1"/>
  <c r="M9" i="2" s="1"/>
  <c r="L9" i="2" a="1"/>
  <c r="L9" i="2" s="1"/>
  <c r="V8" i="2"/>
  <c r="M8" i="2" a="1"/>
  <c r="M8" i="2" s="1"/>
  <c r="L8" i="2" a="1"/>
  <c r="L8" i="2" s="1"/>
  <c r="V7" i="2"/>
  <c r="M7" i="2" a="1"/>
  <c r="M7" i="2" s="1"/>
  <c r="L7" i="2" a="1"/>
  <c r="L7" i="2" s="1"/>
  <c r="V6" i="2"/>
  <c r="M6" i="2" a="1"/>
  <c r="M6" i="2" s="1"/>
  <c r="L6" i="2" a="1"/>
  <c r="L6" i="2" s="1"/>
  <c r="V5" i="2"/>
  <c r="M5" i="2" a="1"/>
  <c r="M5" i="2" s="1"/>
  <c r="L5" i="2" a="1"/>
  <c r="L5" i="2" s="1"/>
  <c r="P4" i="2" a="1"/>
  <c r="P4" i="2" s="1"/>
  <c r="M4" i="2" a="1"/>
  <c r="M4" i="2" s="1"/>
  <c r="L4" i="2" a="1"/>
  <c r="L4" i="2" s="1"/>
  <c r="AL3" i="2"/>
  <c r="AK3" i="2"/>
  <c r="AJ3" i="2"/>
  <c r="AI3" i="2"/>
  <c r="AH3" i="2"/>
  <c r="AG3" i="2"/>
  <c r="AF3" i="2"/>
  <c r="K2" i="2" a="1"/>
  <c r="K2" i="2" s="1"/>
  <c r="J2" i="2" a="1"/>
  <c r="J2" i="2" s="1"/>
  <c r="I2" i="2" a="1"/>
  <c r="I2" i="2" s="1"/>
  <c r="H2" i="2" a="1"/>
  <c r="H2" i="2" s="1"/>
  <c r="G2" i="2" a="1"/>
  <c r="G2" i="2" s="1"/>
  <c r="F2" i="2" a="1"/>
  <c r="F2" i="2" s="1"/>
  <c r="E2" i="2" a="1"/>
  <c r="E2" i="2" s="1"/>
  <c r="N2" i="2" l="1"/>
  <c r="N3" i="2"/>
  <c r="Q11" i="2" l="1" a="1"/>
  <c r="Q11" i="2" s="1"/>
  <c r="Q12" i="2" a="1"/>
  <c r="Q12" i="2" s="1"/>
  <c r="Q6" i="2" a="1"/>
  <c r="Q6" i="2" s="1"/>
  <c r="Q7" i="2" a="1"/>
  <c r="Q7" i="2" s="1"/>
  <c r="Q9" i="2" a="1"/>
  <c r="Q9" i="2" s="1"/>
  <c r="Q16" i="2" a="1"/>
  <c r="Q16" i="2" s="1"/>
  <c r="Q18" i="2" a="1"/>
  <c r="Q18" i="2" s="1"/>
  <c r="Q13" i="2" a="1"/>
  <c r="Q13" i="2" s="1"/>
  <c r="Q5" i="2" a="1"/>
  <c r="Q5" i="2" s="1"/>
  <c r="Q8" i="2" a="1"/>
  <c r="Q8" i="2" s="1"/>
  <c r="Q10" i="2" a="1"/>
  <c r="Q10" i="2" s="1"/>
  <c r="Q20" i="2" l="1" a="1"/>
  <c r="Q20" i="2" s="1"/>
  <c r="Q14" i="2" a="1"/>
  <c r="Q14" i="2" s="1"/>
  <c r="Q21" i="2" s="1"/>
  <c r="Q23" i="2" s="1"/>
  <c r="Q19" i="2" a="1"/>
  <c r="Q19" i="2" s="1"/>
  <c r="Q17" i="2" a="1"/>
  <c r="Q17" i="2" s="1"/>
  <c r="Q15" i="2" a="1"/>
  <c r="Q15" i="2" s="1"/>
  <c r="E1" i="2" l="1"/>
  <c r="F3" i="2"/>
  <c r="G3" i="2" l="1"/>
  <c r="F1" i="2"/>
  <c r="G1" i="2" l="1"/>
  <c r="H3" i="2"/>
  <c r="H1" i="2" l="1"/>
  <c r="I3" i="2"/>
  <c r="J3" i="2" l="1"/>
  <c r="I1" i="2"/>
  <c r="J1" i="2" l="1"/>
  <c r="K3" i="2"/>
  <c r="R9" i="2" a="1"/>
  <c r="R9" i="2" s="1"/>
  <c r="R19" i="2" a="1"/>
  <c r="R19" i="2" s="1"/>
  <c r="R18" i="2" a="1"/>
  <c r="R18" i="2" s="1"/>
  <c r="R13" i="2" a="1"/>
  <c r="R13" i="2" s="1"/>
  <c r="R17" i="2" a="1"/>
  <c r="R17" i="2" s="1"/>
  <c r="R15" i="2" a="1"/>
  <c r="R15" i="2" s="1"/>
  <c r="R14" i="2" a="1"/>
  <c r="R14" i="2" s="1"/>
  <c r="R20" i="2" a="1"/>
  <c r="R20" i="2" s="1"/>
  <c r="R16" i="2" a="1"/>
  <c r="R16" i="2" s="1"/>
  <c r="K1" i="2" l="1"/>
  <c r="R6" i="2" a="1"/>
  <c r="R6" i="2" s="1"/>
  <c r="R7" i="2" a="1"/>
  <c r="R7" i="2" s="1"/>
  <c r="R8" i="2" a="1"/>
  <c r="R8" i="2" s="1"/>
  <c r="R5" i="2" a="1"/>
  <c r="R5" i="2" s="1"/>
  <c r="R12" i="2" a="1"/>
  <c r="R12" i="2" s="1"/>
  <c r="R10" i="2" a="1"/>
  <c r="R10" i="2" s="1"/>
  <c r="R11" i="2" a="1"/>
  <c r="R11" i="2" s="1"/>
  <c r="R21" i="2" l="1"/>
  <c r="R2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<sst xmlns="http://schemas.openxmlformats.org/spreadsheetml/2006/main" count="2239" uniqueCount="297">
  <si>
    <t>Agent Name</t>
  </si>
  <si>
    <t>Team No</t>
  </si>
  <si>
    <t>Team Lead</t>
  </si>
  <si>
    <t>Platform</t>
  </si>
  <si>
    <t>Week 14 Nov</t>
  </si>
  <si>
    <t>Week 21 Nov</t>
  </si>
  <si>
    <t>Jules Langley (DBZ)</t>
  </si>
  <si>
    <t>07:00-15:30</t>
  </si>
  <si>
    <t>WO</t>
  </si>
  <si>
    <t>Count of Agent Name</t>
  </si>
  <si>
    <t>Agent Count</t>
  </si>
  <si>
    <t>Addison Treadwell (DBZ)</t>
  </si>
  <si>
    <t>13:30-22:00</t>
  </si>
  <si>
    <t>Blair Austin</t>
  </si>
  <si>
    <t>Emerson Clarke</t>
  </si>
  <si>
    <t>Days</t>
  </si>
  <si>
    <t>Normal Hours</t>
  </si>
  <si>
    <t>OT Hours</t>
  </si>
  <si>
    <t>Total</t>
  </si>
  <si>
    <t>Alex Bramley (DBZ)</t>
  </si>
  <si>
    <t>Blake Jackson</t>
  </si>
  <si>
    <t>Taylor Morgan</t>
  </si>
  <si>
    <t>11:30-20:00</t>
  </si>
  <si>
    <t>Monday</t>
  </si>
  <si>
    <t>Andie Snowden (DBZ)</t>
  </si>
  <si>
    <t>Charlie Bennett</t>
  </si>
  <si>
    <t>Jamie Spencer</t>
  </si>
  <si>
    <t>08:00-16:30</t>
  </si>
  <si>
    <t>Tuesday</t>
  </si>
  <si>
    <t>Blair Pembroke (DBZ)</t>
  </si>
  <si>
    <t>David Cooper</t>
  </si>
  <si>
    <t>Taylor Reed</t>
  </si>
  <si>
    <t>Wednesday</t>
  </si>
  <si>
    <t>Dale Norbury (DBZ)</t>
  </si>
  <si>
    <t>Riley Foster</t>
  </si>
  <si>
    <t>Thursday</t>
  </si>
  <si>
    <t>Emery Darrington (DBZ)</t>
  </si>
  <si>
    <t>Frankie Baxter</t>
  </si>
  <si>
    <t>Friday</t>
  </si>
  <si>
    <t>Erin Wycliffe (DBZ)</t>
  </si>
  <si>
    <t>Morgan Shaw</t>
  </si>
  <si>
    <t>Saturday</t>
  </si>
  <si>
    <t>Gale Westbrook (DBZ)</t>
  </si>
  <si>
    <t>Laurie Blackwell (DBZ)</t>
  </si>
  <si>
    <t>Parker Jones</t>
  </si>
  <si>
    <t>Sam Avery</t>
  </si>
  <si>
    <t>Merle Canning (DBZ)</t>
  </si>
  <si>
    <t>Robin Clarke</t>
  </si>
  <si>
    <t>Morgan Fairfax (DBZ)</t>
  </si>
  <si>
    <t>Riley Bennett (DBZ)</t>
  </si>
  <si>
    <t>Leave</t>
  </si>
  <si>
    <t>Rory Sanderson</t>
  </si>
  <si>
    <t>Rowan Carter</t>
  </si>
  <si>
    <t>Robin Middleton (DBZ)</t>
  </si>
  <si>
    <t>Sidney Spencer (DBZ)</t>
  </si>
  <si>
    <t>Riley Morton (DBZ)</t>
  </si>
  <si>
    <t>Aubin Harcourt (DBZ)</t>
  </si>
  <si>
    <t>Avery Harrington (DBZ)</t>
  </si>
  <si>
    <t>Grand Total</t>
  </si>
  <si>
    <t>Hollis</t>
  </si>
  <si>
    <t>Brook Taverner (DBZ)</t>
  </si>
  <si>
    <t>Jamie Rvenscroft</t>
  </si>
  <si>
    <t>Carey Westfall (DBZ)</t>
  </si>
  <si>
    <t>Sage turner</t>
  </si>
  <si>
    <t>Cassidy Luffman (DBZ)</t>
  </si>
  <si>
    <t>Amari ward</t>
  </si>
  <si>
    <t>Darcy Ellison (DBZ)</t>
  </si>
  <si>
    <t>Sam Wetherall</t>
  </si>
  <si>
    <t>Harper Blake (DBZ)</t>
  </si>
  <si>
    <t>Hayden Burke (DBZ)</t>
  </si>
  <si>
    <t>Oakley Jackson (DBZ)</t>
  </si>
  <si>
    <t>Rory Fenton (DBZ)</t>
  </si>
  <si>
    <t>Rowan Fletcher (DBZ)</t>
  </si>
  <si>
    <t>Wren Grant (DBZ)</t>
  </si>
  <si>
    <t>Lennox Pratt (DBZ)</t>
  </si>
  <si>
    <t>LEAVE</t>
  </si>
  <si>
    <t>Avery Middleton (DBZ)</t>
  </si>
  <si>
    <t>Beckett Wilson (DBZ)</t>
  </si>
  <si>
    <t>Billie Martin (DBZ)</t>
  </si>
  <si>
    <t>Blake Hensley (DBZ)</t>
  </si>
  <si>
    <t>Charlie Harris (DBZ)</t>
  </si>
  <si>
    <t>Devon Radcliffe (DBZ)</t>
  </si>
  <si>
    <t>Erin Norcross (DBZ)</t>
  </si>
  <si>
    <t>Hayden Cartwright (DBZ)</t>
  </si>
  <si>
    <t>Laurie Thistleton (DBZ)</t>
  </si>
  <si>
    <t>Max Wilson (DBZ)</t>
  </si>
  <si>
    <t>Rory Walker (DBZ)</t>
  </si>
  <si>
    <t>Rowan Pritchard (DBZ)</t>
  </si>
  <si>
    <t>Sage Pritchard (DBZ)</t>
  </si>
  <si>
    <t>Finley Marsh (DBZ)</t>
  </si>
  <si>
    <t>Kendall Ross (DBZ)</t>
  </si>
  <si>
    <t>Linden Bexley (DBZ)</t>
  </si>
  <si>
    <t>Noah Peckham (DBZ)</t>
  </si>
  <si>
    <t>Remy Ashworth (DBZ)</t>
  </si>
  <si>
    <t>Sage Ellison (DBZ)</t>
  </si>
  <si>
    <t>Shannon Elmsley (DBZ)</t>
  </si>
  <si>
    <t>Skyler Grant (DBZ)</t>
  </si>
  <si>
    <t>Stevie Cresswell (DBZ)</t>
  </si>
  <si>
    <t>Taylor Hensley (DBZ)</t>
  </si>
  <si>
    <t>Toby Worthington (DBZ)</t>
  </si>
  <si>
    <t>Tristan Whitfield (DBZ)</t>
  </si>
  <si>
    <t>Leslie Jeffries (DBZ)</t>
  </si>
  <si>
    <t>Marley Abbott (DBZ)</t>
  </si>
  <si>
    <t>Reese Lambert (DBZ)</t>
  </si>
  <si>
    <t>Charlie Penhaligon (DBZ)</t>
  </si>
  <si>
    <t>Joss Merriton (DBZ)</t>
  </si>
  <si>
    <t>Theo Ravenscroft (DBZ)</t>
  </si>
  <si>
    <t>Darby Gearing (DBZ)</t>
  </si>
  <si>
    <t>Peryton Royce (DBZ)</t>
  </si>
  <si>
    <t>Ramsey Thomas (DBZ)</t>
  </si>
  <si>
    <t>Reese Godfrey (DBZ)</t>
  </si>
  <si>
    <t>Rowan Redgrave (DBZ)</t>
  </si>
  <si>
    <t>Sawyer Kempson (DBZ)</t>
  </si>
  <si>
    <t>Spencer Baker (DBZ)</t>
  </si>
  <si>
    <t>Sterling Edwards (DBZ)</t>
  </si>
  <si>
    <t>Tamsin Radford (DBZ)</t>
  </si>
  <si>
    <t>Teal Wainwright (DBZ)</t>
  </si>
  <si>
    <t>Vale Bristow (DBZ)</t>
  </si>
  <si>
    <t>Ari Willoughby (DBZ)</t>
  </si>
  <si>
    <t>Arlie Jenson (DBZ)</t>
  </si>
  <si>
    <t>Ashton Wilkes (DBZ)</t>
  </si>
  <si>
    <t>Blair Denholm (DBZ)</t>
  </si>
  <si>
    <t>Briar Lonsdale (DBZ)</t>
  </si>
  <si>
    <t>Cassidy Davies (DBZ)</t>
  </si>
  <si>
    <t>Celyn Norwood (DBZ)</t>
  </si>
  <si>
    <t>Eden Smith (DBZ)</t>
  </si>
  <si>
    <t>Harlow Hurst (DBZ)</t>
  </si>
  <si>
    <t>Lennox Pembroke (DBZ)</t>
  </si>
  <si>
    <t>Marley Winslow (DBZ)</t>
  </si>
  <si>
    <t>Nico Cartwright (DBZ)</t>
  </si>
  <si>
    <t>Parker Spencer (DBZ)</t>
  </si>
  <si>
    <t>Quinn Rowe (DBZ)</t>
  </si>
  <si>
    <t>Reese Price (DBZ)</t>
  </si>
  <si>
    <t>Adrian Vernon (DBZ)</t>
  </si>
  <si>
    <t>Dale Hatherley (DBZ)</t>
  </si>
  <si>
    <t>Devon Kingswell (DBZ)</t>
  </si>
  <si>
    <t>Eleri Bowden (DBZ)</t>
  </si>
  <si>
    <t>Graylin Everard (DBZ)</t>
  </si>
  <si>
    <t>Harriet Bromley (DBZ)</t>
  </si>
  <si>
    <t>Imogen Harborough (DBZ)</t>
  </si>
  <si>
    <t>Perry Middlebrook (DBZ)</t>
  </si>
  <si>
    <t>Bentley Fenton (DBZ)</t>
  </si>
  <si>
    <t>Robin Haversham (DBZ)</t>
  </si>
  <si>
    <t>Casey Aldenbrook (DBZ)</t>
  </si>
  <si>
    <t>Ember Lewis (DBZ)</t>
  </si>
  <si>
    <t>Fletcher Loxley (DBZ)</t>
  </si>
  <si>
    <t>Alexis Kidd (DBZ)</t>
  </si>
  <si>
    <t>Ashton Fairman (DBZ)</t>
  </si>
  <si>
    <t>Ashton Hale (DBZ)</t>
  </si>
  <si>
    <t>Devan Glover (DBZ)</t>
  </si>
  <si>
    <t>Edith Marlborough (DBZ)</t>
  </si>
  <si>
    <t>Fenn Mowbray (DBZ)</t>
  </si>
  <si>
    <t>Francis Danby (DBZ)</t>
  </si>
  <si>
    <t>Greer Padmore (DBZ)</t>
  </si>
  <si>
    <t>Harper Tinsley (DBZ)</t>
  </si>
  <si>
    <t>Indigo Bramwell (DBZ)</t>
  </si>
  <si>
    <t>Jules Fenwick (DBZ)</t>
  </si>
  <si>
    <t>Harlow Miller (DBZ)</t>
  </si>
  <si>
    <t>Monroe Lancaster (DBZ)</t>
  </si>
  <si>
    <t>Carson Gardener (DBZ)</t>
  </si>
  <si>
    <t>Clayton Jeffries (DBZ)</t>
  </si>
  <si>
    <t>Arbor Webb (DBZ)</t>
  </si>
  <si>
    <t>Arden Scott (DBZ)</t>
  </si>
  <si>
    <t>Sloane Whittaker (DBZ)</t>
  </si>
  <si>
    <t>Bryn Holmes (DBZ)</t>
  </si>
  <si>
    <t>Ellis Ravenscroft (DBZ)</t>
  </si>
  <si>
    <t>Hadley Royston (DBZ)</t>
  </si>
  <si>
    <t>Ives Blackmore (DBZ)</t>
  </si>
  <si>
    <t>Kerry Larchfield (DBZ)</t>
  </si>
  <si>
    <t>Lane Wetherby (DBZ)</t>
  </si>
  <si>
    <t>Logan Eastman (DBZ)</t>
  </si>
  <si>
    <t>Merren Southwell (DBZ)</t>
  </si>
  <si>
    <t>Morgan Ashcombe (DBZ)</t>
  </si>
  <si>
    <t>Nico Slater (DBZ)</t>
  </si>
  <si>
    <t>Rowan Calder (DBZ)</t>
  </si>
  <si>
    <t>Clark Noel (DBZ)</t>
  </si>
  <si>
    <t>Cory Ashfield (DBZ)</t>
  </si>
  <si>
    <t>Fen Lockhart (DBZ)</t>
  </si>
  <si>
    <t>Nairn Bletchley (DBZ)</t>
  </si>
  <si>
    <t>Orin Hartwell (DBZ)</t>
  </si>
  <si>
    <t>Piper Matthews (DBZ)</t>
  </si>
  <si>
    <t>Renley Cotsford (DBZ)</t>
  </si>
  <si>
    <t>Sorrel Beckwith (DBZ)</t>
  </si>
  <si>
    <t>Teagan Holbrook (DBZ)</t>
  </si>
  <si>
    <t>Vale Kingsnorth (DBZ)</t>
  </si>
  <si>
    <t>Wynn Carleton (DBZ)</t>
  </si>
  <si>
    <t>Finley Crossmoor (DBZ)</t>
  </si>
  <si>
    <t>Quinn Bellamy (DBZ)</t>
  </si>
  <si>
    <t>Reese Alderney (DBZ)</t>
  </si>
  <si>
    <t>Arden Montague (DBZ)</t>
  </si>
  <si>
    <t>Emerys Talbot (DBZ)</t>
  </si>
  <si>
    <t>Ellis Harding (DBZ)</t>
  </si>
  <si>
    <t>Marley Whitcombe (DBZ)</t>
  </si>
  <si>
    <t>Callum Marlowe (DBZ)</t>
  </si>
  <si>
    <t>Jude Hartley (DBZ)</t>
  </si>
  <si>
    <t>Kendall Ashcroft (DBZ)</t>
  </si>
  <si>
    <t>Kris Winstanley (DBZ)</t>
  </si>
  <si>
    <t>Lennox Darrow (DBZ)</t>
  </si>
  <si>
    <t>Leslie Walsingham (DBZ)</t>
  </si>
  <si>
    <t>Lindsay Wentworth (DBZ)</t>
  </si>
  <si>
    <t>Nico Ellington (DBZ)</t>
  </si>
  <si>
    <t>Rowan Ainsworth (DBZ)</t>
  </si>
  <si>
    <t>Sandy Lanchester (DBZ)</t>
  </si>
  <si>
    <t>York Selwyn (DBZ)</t>
  </si>
  <si>
    <t>Zephyr Langstone (DBZ)</t>
  </si>
  <si>
    <t>Palmer Clarke (DBZ)</t>
  </si>
  <si>
    <t>Sasha Green (DBZ)</t>
  </si>
  <si>
    <t>Ashton Rowley (DBZ)</t>
  </si>
  <si>
    <t>Bailey Barrow (DBZ)</t>
  </si>
  <si>
    <t>Cameron Alden (DBZ)</t>
  </si>
  <si>
    <t>Cameron Hayes (DBZ)</t>
  </si>
  <si>
    <t>Perry Walker (DBZ)</t>
  </si>
  <si>
    <t>Sage Edwards (DBZ)</t>
  </si>
  <si>
    <t>Sam Jacobs (DBZ)</t>
  </si>
  <si>
    <t>Skip Jackson (DBZ)</t>
  </si>
  <si>
    <t>Sully Roberts (DBZ)</t>
  </si>
  <si>
    <t>Taylor Birken (DBZ)</t>
  </si>
  <si>
    <t>Tyler Walters (DBZ)</t>
  </si>
  <si>
    <t>Bailey Whitmore (DBZ)</t>
  </si>
  <si>
    <t>Ashley Brindley (DBZ)</t>
  </si>
  <si>
    <t>Easton Lambert (DBZ)</t>
  </si>
  <si>
    <t>Indigo Fairfax (DBZ)</t>
  </si>
  <si>
    <t>Jordan Ashdown (DBZ)</t>
  </si>
  <si>
    <t>Keegan Reid (DBZ)</t>
  </si>
  <si>
    <t>Quinn Godfrey (DBZ)</t>
  </si>
  <si>
    <t>Reese Middleton (DBZ)</t>
  </si>
  <si>
    <t>Sydney Tetlow (DBZ)</t>
  </si>
  <si>
    <t>Tristan Redgrave (DBZ)</t>
  </si>
  <si>
    <t>Jules Beaumont (DBZ)</t>
  </si>
  <si>
    <t>Lennox Clarke (DBZ)</t>
  </si>
  <si>
    <t>Sammy Pritchard (DBZ)</t>
  </si>
  <si>
    <t>Nico Ashford (DBZ)</t>
  </si>
  <si>
    <t>Oakley Montague (DBZ)</t>
  </si>
  <si>
    <t>Gray Cartwright (DBZ)</t>
  </si>
  <si>
    <t>Ellis Beaumont (DBZ)</t>
  </si>
  <si>
    <t>Addison Fairfax (DBZ)</t>
  </si>
  <si>
    <t>Avery Radcliffe (DBZ)</t>
  </si>
  <si>
    <t>Cameron Hollings (DBZ)</t>
  </si>
  <si>
    <t>Darcy Langley (DBZ)</t>
  </si>
  <si>
    <t>Eden Beaumont (DBZ)</t>
  </si>
  <si>
    <t>Finley Radcliffe (DBZ)</t>
  </si>
  <si>
    <t>Hollis Radcliffe (DBZ)</t>
  </si>
  <si>
    <t>Indigo Clarke (DBZ)</t>
  </si>
  <si>
    <t>Jordan Walsh (DBZ)</t>
  </si>
  <si>
    <t>Jules Pembroke (DBZ)</t>
  </si>
  <si>
    <t>Winter Clarke (DBZ)</t>
  </si>
  <si>
    <t>Winter Grant (DBZ)</t>
  </si>
  <si>
    <t>Harper Whitmore (DBZ)</t>
  </si>
  <si>
    <t>Arden Pritchard (DBZ)</t>
  </si>
  <si>
    <t>Cassidy Langley (DBZ)</t>
  </si>
  <si>
    <t>Devon Fairfax (DBZ)</t>
  </si>
  <si>
    <t>Frankie Middleton (DBZ)</t>
  </si>
  <si>
    <t>Gray Hollingsworth (DBZ)</t>
  </si>
  <si>
    <t>Jules Clarke (DBZ)</t>
  </si>
  <si>
    <t>Marley Langley (DBZ)</t>
  </si>
  <si>
    <t>Nico Spencer (DBZ)</t>
  </si>
  <si>
    <t>Oliver Ashcombe (DBZ)</t>
  </si>
  <si>
    <t>Sage Redgrave (DBZ)</t>
  </si>
  <si>
    <t>Blaine Whitmore (DBZ)</t>
  </si>
  <si>
    <t>Marley Pritchard (DBZ)</t>
  </si>
  <si>
    <t>Vivian Burford (DBZ)</t>
  </si>
  <si>
    <t>Ali Underwood (DBZ)</t>
  </si>
  <si>
    <t>QA Phase</t>
  </si>
  <si>
    <t>Bev Stanhope (DBZ)</t>
  </si>
  <si>
    <t>Bobbie Vickers (DBZ)</t>
  </si>
  <si>
    <t>Ceri Arkwright (DBZ)</t>
  </si>
  <si>
    <t>Dana Nethercott (DBZ)</t>
  </si>
  <si>
    <t>Dani Newby (DBZ)</t>
  </si>
  <si>
    <t>Evelyn Yarrow (DBZ)</t>
  </si>
  <si>
    <t>Georgie Malleson (DBZ)</t>
  </si>
  <si>
    <t>Gerry Cotswold (DBZ)</t>
  </si>
  <si>
    <t>Jackie Lightfoot (DBZ)</t>
  </si>
  <si>
    <t>Jan Davenant (DBZ)</t>
  </si>
  <si>
    <t>Jean Ellesmere (DBZ)</t>
  </si>
  <si>
    <t>Jo Chivers (DBZ)</t>
  </si>
  <si>
    <t>Kay Pickering (DBZ)</t>
  </si>
  <si>
    <t>Kelly Frobisher (DBZ)</t>
  </si>
  <si>
    <t>Kim Golding (DBZ)</t>
  </si>
  <si>
    <t>Leigh Oughton (DBZ)</t>
  </si>
  <si>
    <t>Loren Peverell (DBZ)</t>
  </si>
  <si>
    <t>Lou Thacker (DBZ)</t>
  </si>
  <si>
    <t>Lynn Quenby (DBZ)</t>
  </si>
  <si>
    <t>Marion Gillingham (DBZ)</t>
  </si>
  <si>
    <t>Mel Hargreaves (DBZ)</t>
  </si>
  <si>
    <t>Nicky Dinsmore (DBZ)</t>
  </si>
  <si>
    <t>Pat Ibbotson (DBZ)</t>
  </si>
  <si>
    <t>Pip Kershaw (DBZ)</t>
  </si>
  <si>
    <t>Rae Quaife (DBZ)</t>
  </si>
  <si>
    <t>Rene Hepworth (DBZ)</t>
  </si>
  <si>
    <t>Ronnie Renshaw (DBZ)</t>
  </si>
  <si>
    <t>Shelley Ingleby (DBZ)</t>
  </si>
  <si>
    <t>Stacey Jarvis (DBZ)</t>
  </si>
  <si>
    <t>Terry Fairbrother (DBZ)</t>
  </si>
  <si>
    <t>Toni Jowett (DBZ)</t>
  </si>
  <si>
    <t>Tracy Kingsley (DBZ)</t>
  </si>
  <si>
    <t>Val Elphick (DBZ)</t>
  </si>
  <si>
    <t>Vic Sowerby (DBZ)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</si>
</sst>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FFFF"/>
      <name val="-Apple-System"/>
      <charset val="1"/>
    </font>
    <font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9161D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352F3D"/>
      </left>
      <right style="thin">
        <color rgb="FF352F3D"/>
      </right>
      <top style="thin">
        <color rgb="FF352F3D"/>
      </top>
      <bottom style="thin">
        <color rgb="FF352F3D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6" fontId="2" fillId="0" borderId="1" xfId="0" applyNumberFormat="1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46" fontId="2" fillId="0" borderId="4" xfId="0" applyNumberFormat="1" applyFont="1" applyBorder="1" applyAlignment="1">
      <alignment horizontal="center"/>
    </xf>
    <xf numFmtId="0" fontId="1" fillId="0" borderId="0" xfId="0" applyFont="1"/>
    <xf numFmtId="0" fontId="0" fillId="0" borderId="2" xfId="0" applyBorder="1"/>
    <xf numFmtId="0" fontId="0" fillId="0" borderId="2" xfId="0" applyBorder="1" applyAlignment="1">
      <alignment horizontal="center"/>
    </xf>
    <xf numFmtId="46" fontId="2" fillId="0" borderId="5" xfId="0" applyNumberFormat="1" applyFont="1" applyBorder="1" applyAlignment="1">
      <alignment horizontal="center"/>
    </xf>
    <xf numFmtId="46" fontId="2" fillId="0" borderId="6" xfId="0" applyNumberFormat="1" applyFont="1" applyBorder="1" applyAlignment="1">
      <alignment horizontal="center"/>
    </xf>
    <xf numFmtId="0" fontId="3" fillId="2" borderId="7" xfId="0" applyFont="1" applyFill="1" applyBorder="1" applyAlignment="1">
      <alignment wrapText="1"/>
    </xf>
    <xf numFmtId="14" fontId="3" fillId="2" borderId="7" xfId="0" applyNumberFormat="1" applyFont="1" applyFill="1" applyBorder="1" applyAlignment="1">
      <alignment horizontal="center" wrapText="1"/>
    </xf>
    <xf numFmtId="46" fontId="2" fillId="0" borderId="2" xfId="0" applyNumberFormat="1" applyFont="1" applyBorder="1" applyAlignment="1">
      <alignment horizontal="center"/>
    </xf>
    <xf numFmtId="46" fontId="0" fillId="0" borderId="0" xfId="0" applyNumberFormat="1"/>
    <xf numFmtId="21" fontId="0" fillId="0" borderId="0" xfId="0" applyNumberFormat="1"/>
    <xf numFmtId="46" fontId="0" fillId="0" borderId="0" xfId="0" applyNumberFormat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</cellXfs>
  <cellStyles count="1">
    <cellStyle name="Normal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63086-501A-4A77-BE50-F4C8AAF54B86}">
  <dimension ref="A1:AT448"/>
  <sheetViews>
    <sheetView tabSelected="1" workbookViewId="0">
      <pane ySplit="3" topLeftCell="A18" activePane="bottomLeft" state="frozen"/>
      <selection pane="bottomLeft" activeCell="E23" sqref="E23"/>
    </sheetView>
  </sheetViews>
  <sheetFormatPr defaultRowHeight="15"/>
  <cols>
    <col min="1" max="1" width="24.42578125" bestFit="1" customWidth="1"/>
    <col min="2" max="2" width="9.140625" style="1" bestFit="1" customWidth="1"/>
    <col min="3" max="3" width="22.5703125" style="1" customWidth="1"/>
    <col min="4" max="4" width="11.28515625" bestFit="1" customWidth="1"/>
    <col min="5" max="11" width="15.28515625" style="1" customWidth="1"/>
    <col min="12" max="12" width="14.85546875" style="1" customWidth="1"/>
    <col min="13" max="13" width="14.85546875" customWidth="1"/>
    <col min="14" max="14" width="12.140625" bestFit="1" customWidth="1"/>
    <col min="15" max="15" width="9.140625" bestFit="1" customWidth="1"/>
    <col min="16" max="16" width="17.85546875" customWidth="1"/>
    <col min="17" max="17" width="16.140625" customWidth="1"/>
    <col min="18" max="18" width="14" customWidth="1"/>
    <col min="22" max="22" width="15" bestFit="1" customWidth="1"/>
    <col min="23" max="23" width="15" customWidth="1"/>
    <col min="24" max="24" width="20.5703125" style="1" bestFit="1" customWidth="1"/>
    <col min="30" max="30" width="22" customWidth="1"/>
    <col min="31" max="31" width="16" customWidth="1"/>
    <col min="32" max="38" width="13.85546875" style="1" customWidth="1"/>
    <col min="44" max="44" width="13.7109375" bestFit="1" customWidth="1"/>
    <col min="46" max="46" width="11" bestFit="1" customWidth="1"/>
  </cols>
  <sheetData>
    <row r="1" spans="1:46">
      <c r="E1" s="2" t="str">
        <f>TEXT(E3,"DDDD")</f>
        <v>Monday</v>
      </c>
      <c r="F1" s="2" t="str">
        <f>TEXT(F3,"DDDD")</f>
        <v>Tuesday</v>
      </c>
      <c r="G1" s="2" t="str">
        <f>TEXT(G3,"DDDD")</f>
        <v>Wednesday</v>
      </c>
      <c r="H1" s="2" t="str">
        <f>TEXT(H3,"DDDD")</f>
        <v>Thursday</v>
      </c>
      <c r="I1" s="2" t="str">
        <f>TEXT(I3,"DDDD")</f>
        <v>Friday</v>
      </c>
      <c r="J1" s="2" t="str">
        <f>TEXT(J3,"DDDD")</f>
        <v>Saturday</v>
      </c>
      <c r="K1" s="2" t="str">
        <f>TEXT(K3,"DDDD")</f>
        <v>Sunday</v>
      </c>
    </row>
    <row r="2" spans="1:46">
      <c r="E2" s="3" cm="1">
        <f t="array" ref="E2">SUMPRODUCT(IFERROR(TIMEVALUE(RIGHT(E4:E260,5))-TIMEVALUE(LEFT(E4:E260,5)),0))</f>
        <v>71.187499999999929</v>
      </c>
      <c r="F2" s="3" cm="1">
        <f t="array" ref="F2">SUMPRODUCT(IFERROR(TIMEVALUE(RIGHT(F4:F260,5))-TIMEVALUE(LEFT(F4:F260,5)),0))</f>
        <v>75.083333333333314</v>
      </c>
      <c r="G2" s="3" cm="1">
        <f t="array" ref="G2">SUMPRODUCT(IFERROR(TIMEVALUE(RIGHT(G4:G260,5))-TIMEVALUE(LEFT(G4:G260,5)),0))</f>
        <v>69.416666666666572</v>
      </c>
      <c r="H2" s="3" cm="1">
        <f t="array" ref="H2">SUMPRODUCT(IFERROR(TIMEVALUE(RIGHT(H4:H260,5))-TIMEVALUE(LEFT(H4:H260,5)),0))</f>
        <v>75.083333333333314</v>
      </c>
      <c r="I2" s="3" cm="1">
        <f t="array" ref="I2">SUMPRODUCT(IFERROR(TIMEVALUE(RIGHT(I4:I260,5))-TIMEVALUE(LEFT(I4:I260,5)),0))</f>
        <v>71.187499999999929</v>
      </c>
      <c r="J2" s="3" cm="1">
        <f t="array" ref="J2">SUMPRODUCT(IFERROR(TIMEVALUE(RIGHT(J4:J260,5))-TIMEVALUE(LEFT(J4:J260,5)),0))</f>
        <v>40.374999999999986</v>
      </c>
      <c r="K2" s="3" cm="1">
        <f t="array" ref="K2">SUMPRODUCT(IFERROR(TIMEVALUE(RIGHT(K4:K260,5))-TIMEVALUE(LEFT(K4:K260,5)),0))</f>
        <v>34.708333333333357</v>
      </c>
      <c r="N2" s="3" t="e">
        <f>SUM(#REF!)</f>
        <v>#REF!</v>
      </c>
    </row>
    <row r="3" spans="1:46" s="9" customFormat="1">
      <c r="A3" s="4" t="s">
        <v>0</v>
      </c>
      <c r="B3" s="5" t="s">
        <v>1</v>
      </c>
      <c r="C3" s="5" t="s">
        <v>2</v>
      </c>
      <c r="D3" s="4" t="s">
        <v>3</v>
      </c>
      <c r="E3" s="6">
        <v>46286</v>
      </c>
      <c r="F3" s="6">
        <f>E3+1</f>
        <v>46287</v>
      </c>
      <c r="G3" s="6">
        <f>F3+1</f>
        <v>46288</v>
      </c>
      <c r="H3" s="6">
        <f>G3+1</f>
        <v>46289</v>
      </c>
      <c r="I3" s="6">
        <f>H3+1</f>
        <v>46290</v>
      </c>
      <c r="J3" s="6">
        <f>I3+1</f>
        <v>46291</v>
      </c>
      <c r="K3" s="7">
        <f>J3+1</f>
        <v>46292</v>
      </c>
      <c r="L3" s="5" t="s">
        <v>4</v>
      </c>
      <c r="M3" s="5" t="s">
        <v>5</v>
      </c>
      <c r="N3" s="8">
        <f>SUM(E2:K2)</f>
        <v>437.04166666666646</v>
      </c>
      <c r="X3" s="2"/>
      <c r="AD3"/>
      <c r="AE3"/>
      <c r="AF3" s="2" t="str">
        <f>TEXT(AF4,"DDDD")</f>
        <v>Monday</v>
      </c>
      <c r="AG3" s="2" t="str">
        <f t="shared" ref="AG3:AL3" si="0">TEXT(AG4,"DDDD")</f>
        <v>Tuesday</v>
      </c>
      <c r="AH3" s="2" t="str">
        <f t="shared" si="0"/>
        <v>Wednesday</v>
      </c>
      <c r="AI3" s="2" t="str">
        <f t="shared" si="0"/>
        <v>Thursday</v>
      </c>
      <c r="AJ3" s="2" t="str">
        <f t="shared" si="0"/>
        <v>Friday</v>
      </c>
      <c r="AK3" s="2" t="str">
        <f t="shared" si="0"/>
        <v>Saturday</v>
      </c>
      <c r="AL3" s="2" t="str">
        <f t="shared" si="0"/>
        <v>Sunday</v>
      </c>
    </row>
    <row r="4" spans="1:46" ht="16.5">
      <c r="A4" s="10" t="s">
        <v>6</v>
      </c>
      <c r="B4" s="11"/>
      <c r="C4" s="11"/>
      <c r="D4" s="10"/>
      <c r="E4" s="11" t="s">
        <v>7</v>
      </c>
      <c r="F4" s="11" t="s">
        <v>7</v>
      </c>
      <c r="G4" s="11" t="s">
        <v>7</v>
      </c>
      <c r="H4" s="11" t="s">
        <v>7</v>
      </c>
      <c r="I4" s="11" t="s">
        <v>7</v>
      </c>
      <c r="J4" s="11" t="s">
        <v>8</v>
      </c>
      <c r="K4" s="11" t="s">
        <v>8</v>
      </c>
      <c r="L4" s="12" cm="1">
        <f t="array" ref="L4">SUMPRODUCT(IFERROR(TIMEVALUE(RIGHT(#REF!,5))-TIMEVALUE(LEFT(#REF!,5)),0))</f>
        <v>0</v>
      </c>
      <c r="M4" s="13" cm="1">
        <f t="array" ref="M4">SUMPRODUCT(IFERROR(TIMEVALUE(RIGHT(E4:K4,5))-TIMEVALUE(LEFT(E4:K4,5)),0))</f>
        <v>1.7708333333333335</v>
      </c>
      <c r="P4" s="4" t="str" cm="1">
        <f t="array" ref="P4:P5">_xlfn.UNIQUE(C3:C244)</f>
        <v>Team Lead</v>
      </c>
      <c r="Q4" s="5" t="s">
        <v>4</v>
      </c>
      <c r="R4" s="5" t="s">
        <v>5</v>
      </c>
      <c r="W4" t="s">
        <v>2</v>
      </c>
      <c r="X4" s="1" t="s">
        <v>9</v>
      </c>
      <c r="AD4" s="14" t="s">
        <v>2</v>
      </c>
      <c r="AE4" s="14" t="s">
        <v>10</v>
      </c>
      <c r="AF4" s="15">
        <v>46279</v>
      </c>
      <c r="AG4" s="15">
        <v>46280</v>
      </c>
      <c r="AH4" s="15">
        <v>46281</v>
      </c>
      <c r="AI4" s="15">
        <v>46282</v>
      </c>
      <c r="AJ4" s="15">
        <v>46283</v>
      </c>
      <c r="AK4" s="15">
        <v>46284</v>
      </c>
      <c r="AL4" s="15">
        <v>46285</v>
      </c>
    </row>
    <row r="5" spans="1:46">
      <c r="A5" s="10" t="s">
        <v>11</v>
      </c>
      <c r="B5" s="11"/>
      <c r="C5" s="11"/>
      <c r="D5" s="10"/>
      <c r="E5" s="11" t="s">
        <v>12</v>
      </c>
      <c r="F5" s="11" t="s">
        <v>12</v>
      </c>
      <c r="G5" s="11" t="s">
        <v>12</v>
      </c>
      <c r="H5" s="11" t="s">
        <v>12</v>
      </c>
      <c r="I5" s="11" t="s">
        <v>8</v>
      </c>
      <c r="J5" s="11" t="s">
        <v>8</v>
      </c>
      <c r="K5" s="11" t="s">
        <v>12</v>
      </c>
      <c r="L5" s="8" cm="1">
        <f t="array" ref="L5">SUMPRODUCT(IFERROR(TIMEVALUE(RIGHT(#REF!,5))-TIMEVALUE(LEFT(#REF!,5)),0))</f>
        <v>0</v>
      </c>
      <c r="M5" s="3" cm="1">
        <f t="array" ref="M5">SUMPRODUCT(IFERROR(TIMEVALUE(RIGHT(E5:K5,5))-TIMEVALUE(LEFT(E5:K5,5)),0))</f>
        <v>1.770833333333333</v>
      </c>
      <c r="P5" s="10">
        <v>0</v>
      </c>
      <c r="Q5" s="16" t="e" cm="1">
        <f t="array" ref="Q5">SUMPRODUCT(($C$3:$C$998=$P5)*MMULT(IFERROR(TIMEVALUE(RIGHT(#REF!,5))-TIMEVALUE(LEFT(#REF!,5)),0),TRANSPOSE(COLUMN(#REF!)^0)))</f>
        <v>#REF!</v>
      </c>
      <c r="R5" s="16" cm="1">
        <f t="array" ref="R5">SUMPRODUCT(($C$3:$C$998=$P5)*MMULT(IFERROR(TIMEVALUE(RIGHT($E$3:$K$998,5))-TIMEVALUE(LEFT($E$3:$K$998,5)),0),TRANSPOSE(COLUMN($E$2:$K$2)^0)))</f>
        <v>437.04166666666526</v>
      </c>
      <c r="S5">
        <v>637.5</v>
      </c>
      <c r="T5">
        <v>637.5</v>
      </c>
      <c r="V5" t="str">
        <f>VLOOKUP(W5,AD:AD,1,FALSE)</f>
        <v>Blair Austin</v>
      </c>
      <c r="W5" t="s">
        <v>13</v>
      </c>
      <c r="X5" s="1">
        <v>15</v>
      </c>
      <c r="AD5" t="s">
        <v>14</v>
      </c>
      <c r="AE5" s="1">
        <v>15</v>
      </c>
      <c r="AF5" s="1" t="s">
        <v>12</v>
      </c>
      <c r="AG5" s="1" t="s">
        <v>12</v>
      </c>
      <c r="AH5" s="1" t="s">
        <v>12</v>
      </c>
      <c r="AI5" s="1" t="s">
        <v>12</v>
      </c>
      <c r="AJ5" s="1" t="s">
        <v>12</v>
      </c>
      <c r="AK5" s="1" t="s">
        <v>8</v>
      </c>
      <c r="AL5" s="1" t="s">
        <v>8</v>
      </c>
      <c r="AQ5" s="9" t="s">
        <v>15</v>
      </c>
      <c r="AR5" s="9" t="s">
        <v>16</v>
      </c>
      <c r="AS5" s="9" t="s">
        <v>17</v>
      </c>
      <c r="AT5" s="9" t="s">
        <v>18</v>
      </c>
    </row>
    <row r="6" spans="1:46">
      <c r="A6" s="10" t="s">
        <v>19</v>
      </c>
      <c r="B6" s="11"/>
      <c r="C6" s="11"/>
      <c r="D6" s="10"/>
      <c r="E6" s="11" t="s">
        <v>12</v>
      </c>
      <c r="F6" s="11" t="s">
        <v>12</v>
      </c>
      <c r="G6" s="11" t="s">
        <v>12</v>
      </c>
      <c r="H6" s="11" t="s">
        <v>12</v>
      </c>
      <c r="I6" s="11" t="s">
        <v>12</v>
      </c>
      <c r="J6" s="11" t="s">
        <v>8</v>
      </c>
      <c r="K6" s="11" t="s">
        <v>8</v>
      </c>
      <c r="L6" s="8" cm="1">
        <f t="array" ref="L6">SUMPRODUCT(IFERROR(TIMEVALUE(RIGHT(#REF!,5))-TIMEVALUE(LEFT(#REF!,5)),0))</f>
        <v>0</v>
      </c>
      <c r="M6" s="3" cm="1">
        <f t="array" ref="M6">SUMPRODUCT(IFERROR(TIMEVALUE(RIGHT(E6:K6,5))-TIMEVALUE(LEFT(E6:K6,5)),0))</f>
        <v>1.770833333333333</v>
      </c>
      <c r="P6" s="10"/>
      <c r="Q6" s="16" t="e" cm="1">
        <f t="array" ref="Q6">SUMPRODUCT(($C$3:$C$998=$P6)*MMULT(IFERROR(TIMEVALUE(RIGHT(#REF!,5))-TIMEVALUE(LEFT(#REF!,5)),0),TRANSPOSE(COLUMN(#REF!)^0)))</f>
        <v>#REF!</v>
      </c>
      <c r="R6" s="16" cm="1">
        <f t="array" ref="R6">SUMPRODUCT(($C$3:$C$998=$P6)*MMULT(IFERROR(TIMEVALUE(RIGHT($E$3:$K$998,5))-TIMEVALUE(LEFT($E$3:$K$998,5)),0),TRANSPOSE(COLUMN($E$2:$K$2)^0)))</f>
        <v>437.04166666666526</v>
      </c>
      <c r="S6">
        <v>552.5</v>
      </c>
      <c r="T6">
        <v>552.5</v>
      </c>
      <c r="V6" t="str">
        <f t="shared" ref="V6:V21" si="1">VLOOKUP(W6,AD:AD,1,FALSE)</f>
        <v>Blake Jackson</v>
      </c>
      <c r="W6" t="s">
        <v>20</v>
      </c>
      <c r="X6" s="1">
        <v>36</v>
      </c>
      <c r="AD6" t="s">
        <v>21</v>
      </c>
      <c r="AE6" s="1">
        <v>13</v>
      </c>
      <c r="AF6" s="1" t="s">
        <v>22</v>
      </c>
      <c r="AG6" s="1" t="s">
        <v>22</v>
      </c>
      <c r="AH6" s="1" t="s">
        <v>22</v>
      </c>
      <c r="AI6" s="1" t="s">
        <v>22</v>
      </c>
      <c r="AJ6" s="1" t="s">
        <v>8</v>
      </c>
      <c r="AK6" s="1" t="s">
        <v>8</v>
      </c>
      <c r="AL6" s="1" t="s">
        <v>22</v>
      </c>
      <c r="AQ6" t="s">
        <v>23</v>
      </c>
      <c r="AR6" s="17">
        <v>67.027939814814815</v>
      </c>
      <c r="AS6" s="18">
        <v>0</v>
      </c>
      <c r="AT6" s="17">
        <v>67.027939814814815</v>
      </c>
    </row>
    <row r="7" spans="1:46">
      <c r="A7" s="10" t="s">
        <v>24</v>
      </c>
      <c r="B7" s="11"/>
      <c r="C7" s="11"/>
      <c r="D7" s="10"/>
      <c r="E7" s="11" t="s">
        <v>12</v>
      </c>
      <c r="F7" s="11" t="s">
        <v>12</v>
      </c>
      <c r="G7" s="11" t="s">
        <v>8</v>
      </c>
      <c r="H7" s="11" t="s">
        <v>8</v>
      </c>
      <c r="I7" s="11" t="s">
        <v>12</v>
      </c>
      <c r="J7" s="11" t="s">
        <v>12</v>
      </c>
      <c r="K7" s="11" t="s">
        <v>12</v>
      </c>
      <c r="L7" s="8" cm="1">
        <f t="array" ref="L7">SUMPRODUCT(IFERROR(TIMEVALUE(RIGHT(#REF!,5))-TIMEVALUE(LEFT(#REF!,5)),0))</f>
        <v>0</v>
      </c>
      <c r="M7" s="3" cm="1">
        <f t="array" ref="M7">SUMPRODUCT(IFERROR(TIMEVALUE(RIGHT(E7:K7,5))-TIMEVALUE(LEFT(E7:K7,5)),0))</f>
        <v>1.770833333333333</v>
      </c>
      <c r="P7" s="10"/>
      <c r="Q7" s="16" t="e" cm="1">
        <f t="array" ref="Q7">SUMPRODUCT(($C$3:$C$998=$P7)*MMULT(IFERROR(TIMEVALUE(RIGHT(#REF!,5))-TIMEVALUE(LEFT(#REF!,5)),0),TRANSPOSE(COLUMN(#REF!)^0)))</f>
        <v>#REF!</v>
      </c>
      <c r="R7" s="16" cm="1">
        <f t="array" ref="R7">SUMPRODUCT(($C$3:$C$998=$P7)*MMULT(IFERROR(TIMEVALUE(RIGHT($E$3:$K$998,5))-TIMEVALUE(LEFT($E$3:$K$998,5)),0),TRANSPOSE(COLUMN($E$2:$K$2)^0)))</f>
        <v>437.04166666666526</v>
      </c>
      <c r="S7">
        <v>595</v>
      </c>
      <c r="T7">
        <v>569.5</v>
      </c>
      <c r="V7" t="str">
        <f t="shared" si="1"/>
        <v>Charlie Bennett</v>
      </c>
      <c r="W7" t="s">
        <v>25</v>
      </c>
      <c r="X7" s="1">
        <v>15</v>
      </c>
      <c r="AD7" t="s">
        <v>26</v>
      </c>
      <c r="AE7" s="1">
        <v>14</v>
      </c>
      <c r="AF7" s="1" t="s">
        <v>27</v>
      </c>
      <c r="AG7" s="1" t="s">
        <v>27</v>
      </c>
      <c r="AH7" s="1" t="s">
        <v>27</v>
      </c>
      <c r="AI7" s="1" t="s">
        <v>27</v>
      </c>
      <c r="AJ7" s="1" t="s">
        <v>27</v>
      </c>
      <c r="AK7" s="1" t="s">
        <v>8</v>
      </c>
      <c r="AL7" s="1" t="s">
        <v>8</v>
      </c>
      <c r="AQ7" t="s">
        <v>28</v>
      </c>
      <c r="AR7" s="17">
        <v>68.202650462962964</v>
      </c>
      <c r="AS7" s="18">
        <v>0</v>
      </c>
      <c r="AT7" s="17">
        <v>68.202650462962964</v>
      </c>
    </row>
    <row r="8" spans="1:46">
      <c r="A8" s="10" t="s">
        <v>29</v>
      </c>
      <c r="B8" s="11"/>
      <c r="C8" s="11"/>
      <c r="D8" s="10"/>
      <c r="E8" s="11" t="s">
        <v>12</v>
      </c>
      <c r="F8" s="11" t="s">
        <v>12</v>
      </c>
      <c r="G8" s="11" t="s">
        <v>8</v>
      </c>
      <c r="H8" s="11" t="s">
        <v>8</v>
      </c>
      <c r="I8" s="11" t="s">
        <v>12</v>
      </c>
      <c r="J8" s="11" t="s">
        <v>12</v>
      </c>
      <c r="K8" s="11" t="s">
        <v>12</v>
      </c>
      <c r="L8" s="8" cm="1">
        <f t="array" ref="L8">SUMPRODUCT(IFERROR(TIMEVALUE(RIGHT(#REF!,5))-TIMEVALUE(LEFT(#REF!,5)),0))</f>
        <v>0</v>
      </c>
      <c r="M8" s="3" cm="1">
        <f t="array" ref="M8">SUMPRODUCT(IFERROR(TIMEVALUE(RIGHT(E8:K8,5))-TIMEVALUE(LEFT(E8:K8,5)),0))</f>
        <v>1.770833333333333</v>
      </c>
      <c r="P8" s="10"/>
      <c r="Q8" s="16" t="e" cm="1">
        <f t="array" ref="Q8">SUMPRODUCT(($C$3:$C$998=$P8)*MMULT(IFERROR(TIMEVALUE(RIGHT(#REF!,5))-TIMEVALUE(LEFT(#REF!,5)),0),TRANSPOSE(COLUMN(#REF!)^0)))</f>
        <v>#REF!</v>
      </c>
      <c r="R8" s="16" cm="1">
        <f t="array" ref="R8">SUMPRODUCT(($C$3:$C$998=$P8)*MMULT(IFERROR(TIMEVALUE(RIGHT($E$3:$K$998,5))-TIMEVALUE(LEFT($E$3:$K$998,5)),0),TRANSPOSE(COLUMN($E$2:$K$2)^0)))</f>
        <v>437.04166666666526</v>
      </c>
      <c r="S8">
        <v>637.5</v>
      </c>
      <c r="T8">
        <v>637.5</v>
      </c>
      <c r="V8" t="str">
        <f t="shared" si="1"/>
        <v>David Cooper</v>
      </c>
      <c r="W8" t="s">
        <v>30</v>
      </c>
      <c r="X8" s="1">
        <v>14</v>
      </c>
      <c r="AD8" t="s">
        <v>31</v>
      </c>
      <c r="AE8" s="1">
        <v>15</v>
      </c>
      <c r="AF8" s="1" t="s">
        <v>7</v>
      </c>
      <c r="AG8" s="1" t="s">
        <v>7</v>
      </c>
      <c r="AH8" s="1" t="s">
        <v>7</v>
      </c>
      <c r="AI8" s="1" t="s">
        <v>7</v>
      </c>
      <c r="AJ8" s="1" t="s">
        <v>8</v>
      </c>
      <c r="AK8" s="1" t="s">
        <v>8</v>
      </c>
      <c r="AL8" s="1" t="s">
        <v>7</v>
      </c>
      <c r="AQ8" t="s">
        <v>32</v>
      </c>
      <c r="AR8" s="17">
        <v>71.44311342592593</v>
      </c>
      <c r="AS8" s="18">
        <v>0</v>
      </c>
      <c r="AT8" s="17">
        <v>71.44311342592593</v>
      </c>
    </row>
    <row r="9" spans="1:46">
      <c r="A9" s="10" t="s">
        <v>33</v>
      </c>
      <c r="B9" s="11"/>
      <c r="C9" s="11"/>
      <c r="D9" s="10"/>
      <c r="E9" s="11" t="s">
        <v>12</v>
      </c>
      <c r="F9" s="11" t="s">
        <v>12</v>
      </c>
      <c r="G9" s="11" t="s">
        <v>12</v>
      </c>
      <c r="H9" s="11" t="s">
        <v>8</v>
      </c>
      <c r="I9" s="11" t="s">
        <v>8</v>
      </c>
      <c r="J9" s="11" t="s">
        <v>12</v>
      </c>
      <c r="K9" s="11" t="s">
        <v>12</v>
      </c>
      <c r="L9" s="8" cm="1">
        <f t="array" ref="L9">SUMPRODUCT(IFERROR(TIMEVALUE(RIGHT(#REF!,5))-TIMEVALUE(LEFT(#REF!,5)),0))</f>
        <v>0</v>
      </c>
      <c r="M9" s="3" cm="1">
        <f t="array" ref="M9">SUMPRODUCT(IFERROR(TIMEVALUE(RIGHT(E9:K9,5))-TIMEVALUE(LEFT(E9:K9,5)),0))</f>
        <v>1.770833333333333</v>
      </c>
      <c r="P9" s="10"/>
      <c r="Q9" s="16" t="e" cm="1">
        <f t="array" ref="Q9">SUMPRODUCT(($C$3:$C$998=$P9)*MMULT(IFERROR(TIMEVALUE(RIGHT(#REF!,5))-TIMEVALUE(LEFT(#REF!,5)),0),TRANSPOSE(COLUMN(#REF!)^0)))</f>
        <v>#REF!</v>
      </c>
      <c r="R9" s="16" cm="1">
        <f t="array" ref="R9">SUMPRODUCT(($C$3:$C$998=$P9)*MMULT(IFERROR(TIMEVALUE(RIGHT($E$3:$K$998,5))-TIMEVALUE(LEFT($E$3:$K$998,5)),0),TRANSPOSE(COLUMN($E$2:$K$2)^0)))</f>
        <v>437.04166666666526</v>
      </c>
      <c r="S9">
        <v>603.5</v>
      </c>
      <c r="T9">
        <v>595</v>
      </c>
      <c r="V9" t="str">
        <f t="shared" si="1"/>
        <v>Emerson Clarke</v>
      </c>
      <c r="W9" t="s">
        <v>14</v>
      </c>
      <c r="X9" s="1">
        <v>15</v>
      </c>
      <c r="AD9" t="s">
        <v>34</v>
      </c>
      <c r="AE9" s="1">
        <v>15</v>
      </c>
      <c r="AF9" s="1" t="s">
        <v>12</v>
      </c>
      <c r="AG9" s="1" t="s">
        <v>12</v>
      </c>
      <c r="AH9" s="1" t="s">
        <v>12</v>
      </c>
      <c r="AI9" s="1" t="s">
        <v>8</v>
      </c>
      <c r="AJ9" s="1" t="s">
        <v>8</v>
      </c>
      <c r="AK9" s="1" t="s">
        <v>12</v>
      </c>
      <c r="AL9" s="1" t="s">
        <v>12</v>
      </c>
      <c r="AQ9" t="s">
        <v>35</v>
      </c>
      <c r="AR9" s="17">
        <v>69.196539351851854</v>
      </c>
      <c r="AS9" s="18">
        <v>0</v>
      </c>
      <c r="AT9" s="17">
        <v>69.196539351851854</v>
      </c>
    </row>
    <row r="10" spans="1:46">
      <c r="A10" s="10" t="s">
        <v>36</v>
      </c>
      <c r="B10" s="11"/>
      <c r="C10" s="11"/>
      <c r="D10" s="10"/>
      <c r="E10" s="11" t="s">
        <v>8</v>
      </c>
      <c r="F10" s="11" t="s">
        <v>12</v>
      </c>
      <c r="G10" s="11" t="s">
        <v>8</v>
      </c>
      <c r="H10" s="11" t="s">
        <v>12</v>
      </c>
      <c r="I10" s="11" t="s">
        <v>12</v>
      </c>
      <c r="J10" s="11" t="s">
        <v>12</v>
      </c>
      <c r="K10" s="11" t="s">
        <v>12</v>
      </c>
      <c r="L10" s="8" cm="1">
        <f t="array" ref="L10">SUMPRODUCT(IFERROR(TIMEVALUE(RIGHT(#REF!,5))-TIMEVALUE(LEFT(#REF!,5)),0))</f>
        <v>0</v>
      </c>
      <c r="M10" s="3" cm="1">
        <f t="array" ref="M10">SUMPRODUCT(IFERROR(TIMEVALUE(RIGHT(E10:K10,5))-TIMEVALUE(LEFT(E10:K10,5)),0))</f>
        <v>1.770833333333333</v>
      </c>
      <c r="P10" s="10"/>
      <c r="Q10" s="16" t="e" cm="1">
        <f t="array" ref="Q10">SUMPRODUCT(($C$3:$C$998=$P10)*MMULT(IFERROR(TIMEVALUE(RIGHT(#REF!,5))-TIMEVALUE(LEFT(#REF!,5)),0),TRANSPOSE(COLUMN(#REF!)^0)))</f>
        <v>#REF!</v>
      </c>
      <c r="R10" s="16" cm="1">
        <f t="array" ref="R10">SUMPRODUCT(($C$3:$C$998=$P10)*MMULT(IFERROR(TIMEVALUE(RIGHT($E$3:$K$998,5))-TIMEVALUE(LEFT($E$3:$K$998,5)),0),TRANSPOSE(COLUMN($E$2:$K$2)^0)))</f>
        <v>437.04166666666526</v>
      </c>
      <c r="S10">
        <v>629</v>
      </c>
      <c r="T10">
        <v>637.5</v>
      </c>
      <c r="V10" t="str">
        <f t="shared" si="1"/>
        <v>Frankie Baxter</v>
      </c>
      <c r="W10" t="s">
        <v>37</v>
      </c>
      <c r="X10" s="1">
        <v>15</v>
      </c>
      <c r="AD10" t="s">
        <v>25</v>
      </c>
      <c r="AE10" s="1">
        <v>15</v>
      </c>
      <c r="AF10" s="1" t="s">
        <v>27</v>
      </c>
      <c r="AG10" s="1" t="s">
        <v>27</v>
      </c>
      <c r="AH10" s="1" t="s">
        <v>27</v>
      </c>
      <c r="AI10" s="1" t="s">
        <v>27</v>
      </c>
      <c r="AJ10" s="1" t="s">
        <v>27</v>
      </c>
      <c r="AK10" s="1" t="s">
        <v>8</v>
      </c>
      <c r="AL10" s="1" t="s">
        <v>8</v>
      </c>
      <c r="AQ10" t="s">
        <v>38</v>
      </c>
      <c r="AR10" s="17">
        <v>70.181539351851853</v>
      </c>
      <c r="AS10" s="18">
        <v>0</v>
      </c>
      <c r="AT10" s="17">
        <v>70.181539351851853</v>
      </c>
    </row>
    <row r="11" spans="1:46">
      <c r="A11" s="10" t="s">
        <v>39</v>
      </c>
      <c r="B11" s="11"/>
      <c r="C11" s="11"/>
      <c r="D11" s="10"/>
      <c r="E11" s="11" t="s">
        <v>12</v>
      </c>
      <c r="F11" s="11" t="s">
        <v>12</v>
      </c>
      <c r="G11" s="11" t="s">
        <v>12</v>
      </c>
      <c r="H11" s="11" t="s">
        <v>8</v>
      </c>
      <c r="I11" s="11" t="s">
        <v>8</v>
      </c>
      <c r="J11" s="11" t="s">
        <v>12</v>
      </c>
      <c r="K11" s="11" t="s">
        <v>12</v>
      </c>
      <c r="L11" s="8" cm="1">
        <f t="array" ref="L11">SUMPRODUCT(IFERROR(TIMEVALUE(RIGHT(#REF!,5))-TIMEVALUE(LEFT(#REF!,5)),0))</f>
        <v>0</v>
      </c>
      <c r="M11" s="3" cm="1">
        <f t="array" ref="M11">SUMPRODUCT(IFERROR(TIMEVALUE(RIGHT(E11:K11,5))-TIMEVALUE(LEFT(E11:K11,5)),0))</f>
        <v>1.770833333333333</v>
      </c>
      <c r="P11" s="10"/>
      <c r="Q11" s="16" t="e" cm="1">
        <f t="array" ref="Q11">SUMPRODUCT(($C$3:$C$998=$P11)*MMULT(IFERROR(TIMEVALUE(RIGHT(#REF!,5))-TIMEVALUE(LEFT(#REF!,5)),0),TRANSPOSE(COLUMN(#REF!)^0)))</f>
        <v>#REF!</v>
      </c>
      <c r="R11" s="16" cm="1">
        <f t="array" ref="R11">SUMPRODUCT(($C$3:$C$998=$P11)*MMULT(IFERROR(TIMEVALUE(RIGHT($E$3:$K$998,5))-TIMEVALUE(LEFT($E$3:$K$998,5)),0),TRANSPOSE(COLUMN($E$2:$K$2)^0)))</f>
        <v>437.04166666666526</v>
      </c>
      <c r="S11">
        <v>527</v>
      </c>
      <c r="T11">
        <v>552.5</v>
      </c>
      <c r="V11" t="str">
        <f t="shared" si="1"/>
        <v>Jamie Spencer</v>
      </c>
      <c r="W11" t="s">
        <v>26</v>
      </c>
      <c r="X11" s="1">
        <v>14</v>
      </c>
      <c r="AD11" t="s">
        <v>40</v>
      </c>
      <c r="AE11" s="1">
        <v>13</v>
      </c>
      <c r="AF11" s="1" t="s">
        <v>7</v>
      </c>
      <c r="AG11" s="1" t="s">
        <v>7</v>
      </c>
      <c r="AH11" s="1" t="s">
        <v>7</v>
      </c>
      <c r="AI11" s="1" t="s">
        <v>8</v>
      </c>
      <c r="AJ11" s="1" t="s">
        <v>8</v>
      </c>
      <c r="AK11" s="1" t="s">
        <v>7</v>
      </c>
      <c r="AL11" s="1" t="s">
        <v>7</v>
      </c>
      <c r="AQ11" t="s">
        <v>41</v>
      </c>
      <c r="AR11" s="17">
        <v>37.938912037037035</v>
      </c>
      <c r="AS11" s="18">
        <v>0</v>
      </c>
      <c r="AT11" s="17">
        <v>37.938912037037035</v>
      </c>
    </row>
    <row r="12" spans="1:46">
      <c r="A12" s="10" t="s">
        <v>42</v>
      </c>
      <c r="B12" s="11"/>
      <c r="C12" s="11"/>
      <c r="D12" s="10"/>
      <c r="E12" s="11" t="s">
        <v>12</v>
      </c>
      <c r="F12" s="11" t="s">
        <v>12</v>
      </c>
      <c r="G12" s="11" t="s">
        <v>12</v>
      </c>
      <c r="H12" s="11" t="s">
        <v>12</v>
      </c>
      <c r="I12" s="11" t="s">
        <v>12</v>
      </c>
      <c r="J12" s="11" t="s">
        <v>8</v>
      </c>
      <c r="K12" s="11" t="s">
        <v>8</v>
      </c>
      <c r="L12" s="8" cm="1">
        <f t="array" ref="L12">SUMPRODUCT(IFERROR(TIMEVALUE(RIGHT(#REF!,5))-TIMEVALUE(LEFT(#REF!,5)),0))</f>
        <v>0</v>
      </c>
      <c r="M12" s="3" cm="1">
        <f t="array" ref="M12">SUMPRODUCT(IFERROR(TIMEVALUE(RIGHT(E12:K12,5))-TIMEVALUE(LEFT(E12:K12,5)),0))</f>
        <v>1.770833333333333</v>
      </c>
      <c r="P12" s="10"/>
      <c r="Q12" s="16" t="e" cm="1">
        <f t="array" ref="Q12">SUMPRODUCT(($C$3:$C$998=$P12)*MMULT(IFERROR(TIMEVALUE(RIGHT(#REF!,5))-TIMEVALUE(LEFT(#REF!,5)),0),TRANSPOSE(COLUMN(#REF!)^0)))</f>
        <v>#REF!</v>
      </c>
      <c r="R12" s="16" cm="1">
        <f t="array" ref="R12">SUMPRODUCT(($C$3:$C$998=$P12)*MMULT(IFERROR(TIMEVALUE(RIGHT($E$3:$K$998,5))-TIMEVALUE(LEFT($E$3:$K$998,5)),0),TRANSPOSE(COLUMN($E$2:$K$2)^0)))</f>
        <v>437.04166666666526</v>
      </c>
      <c r="S12">
        <v>629</v>
      </c>
      <c r="T12">
        <v>637.5</v>
      </c>
      <c r="V12" t="str">
        <f t="shared" si="1"/>
        <v>Morgan Shaw</v>
      </c>
      <c r="W12" t="s">
        <v>40</v>
      </c>
      <c r="X12" s="1">
        <v>13</v>
      </c>
      <c r="AD12" t="s">
        <v>13</v>
      </c>
      <c r="AE12" s="1">
        <v>15</v>
      </c>
      <c r="AF12" s="1" t="s">
        <v>27</v>
      </c>
      <c r="AG12" s="1" t="s">
        <v>27</v>
      </c>
      <c r="AH12" s="1" t="s">
        <v>27</v>
      </c>
      <c r="AI12" s="1" t="s">
        <v>27</v>
      </c>
      <c r="AJ12" s="1" t="s">
        <v>27</v>
      </c>
      <c r="AK12" s="1" t="s">
        <v>8</v>
      </c>
      <c r="AL12" s="1" t="s">
        <v>8</v>
      </c>
    </row>
    <row r="13" spans="1:46">
      <c r="A13" s="10" t="s">
        <v>43</v>
      </c>
      <c r="B13" s="11"/>
      <c r="C13" s="11"/>
      <c r="D13" s="10"/>
      <c r="E13" s="11" t="s">
        <v>12</v>
      </c>
      <c r="F13" s="11" t="s">
        <v>12</v>
      </c>
      <c r="G13" s="11" t="s">
        <v>12</v>
      </c>
      <c r="H13" s="11" t="s">
        <v>12</v>
      </c>
      <c r="I13" s="11" t="s">
        <v>12</v>
      </c>
      <c r="J13" s="11" t="s">
        <v>8</v>
      </c>
      <c r="K13" s="11" t="s">
        <v>8</v>
      </c>
      <c r="L13" s="8" cm="1">
        <f t="array" ref="L13">SUMPRODUCT(IFERROR(TIMEVALUE(RIGHT(#REF!,5))-TIMEVALUE(LEFT(#REF!,5)),0))</f>
        <v>0</v>
      </c>
      <c r="M13" s="3" cm="1">
        <f t="array" ref="M13">SUMPRODUCT(IFERROR(TIMEVALUE(RIGHT(E13:K13,5))-TIMEVALUE(LEFT(E13:K13,5)),0))</f>
        <v>1.770833333333333</v>
      </c>
      <c r="P13" s="10"/>
      <c r="Q13" s="16" t="e" cm="1">
        <f t="array" ref="Q13">SUMPRODUCT(($C$3:$C$998=$P13)*MMULT(IFERROR(TIMEVALUE(RIGHT(#REF!,5))-TIMEVALUE(LEFT(#REF!,5)),0),TRANSPOSE(COLUMN(#REF!)^0)))</f>
        <v>#REF!</v>
      </c>
      <c r="R13" s="16" cm="1">
        <f t="array" ref="R13">SUMPRODUCT(($C$3:$C$998=$P13)*MMULT(IFERROR(TIMEVALUE(RIGHT($E$3:$K$998,5))-TIMEVALUE(LEFT($E$3:$K$998,5)),0),TRANSPOSE(COLUMN($E$2:$K$2)^0)))</f>
        <v>437.04166666666526</v>
      </c>
      <c r="S13">
        <v>586.5</v>
      </c>
      <c r="T13">
        <v>578</v>
      </c>
      <c r="V13" t="str">
        <f t="shared" si="1"/>
        <v>Parker Jones</v>
      </c>
      <c r="W13" t="s">
        <v>44</v>
      </c>
      <c r="X13" s="1">
        <v>12</v>
      </c>
      <c r="AD13" t="s">
        <v>45</v>
      </c>
      <c r="AE13" s="1">
        <v>14</v>
      </c>
      <c r="AF13" s="1" t="s">
        <v>12</v>
      </c>
      <c r="AG13" s="1" t="s">
        <v>8</v>
      </c>
      <c r="AH13" s="1" t="s">
        <v>8</v>
      </c>
      <c r="AI13" s="1" t="s">
        <v>12</v>
      </c>
      <c r="AJ13" s="1" t="s">
        <v>12</v>
      </c>
      <c r="AK13" s="1" t="s">
        <v>12</v>
      </c>
      <c r="AL13" s="1" t="s">
        <v>12</v>
      </c>
      <c r="AR13" s="17">
        <f>SUM(AR6:AR12)</f>
        <v>383.99069444444439</v>
      </c>
      <c r="AT13" s="17">
        <f>SUM(AT6:AT12)</f>
        <v>383.99069444444439</v>
      </c>
    </row>
    <row r="14" spans="1:46">
      <c r="A14" s="10" t="s">
        <v>46</v>
      </c>
      <c r="B14" s="11"/>
      <c r="C14" s="11"/>
      <c r="D14" s="10"/>
      <c r="E14" s="11" t="s">
        <v>22</v>
      </c>
      <c r="F14" s="11" t="s">
        <v>12</v>
      </c>
      <c r="G14" s="11" t="s">
        <v>22</v>
      </c>
      <c r="H14" s="11" t="s">
        <v>22</v>
      </c>
      <c r="I14" s="11" t="s">
        <v>12</v>
      </c>
      <c r="J14" s="11" t="s">
        <v>8</v>
      </c>
      <c r="K14" s="11" t="s">
        <v>8</v>
      </c>
      <c r="L14" s="8" cm="1">
        <f t="array" ref="L14">SUMPRODUCT(IFERROR(TIMEVALUE(RIGHT(#REF!,5))-TIMEVALUE(LEFT(#REF!,5)),0))</f>
        <v>0</v>
      </c>
      <c r="M14" s="3" cm="1">
        <f t="array" ref="M14">SUMPRODUCT(IFERROR(TIMEVALUE(RIGHT(E14:K14,5))-TIMEVALUE(LEFT(E14:K14,5)),0))</f>
        <v>1.7708333333333335</v>
      </c>
      <c r="P14" s="10"/>
      <c r="Q14" s="16" t="e" cm="1">
        <f t="array" ref="Q14">SUMPRODUCT(($C$3:$C$998=$P14)*MMULT(IFERROR(TIMEVALUE(RIGHT(#REF!,5))-TIMEVALUE(LEFT(#REF!,5)),0),TRANSPOSE(COLUMN(#REF!)^0)))</f>
        <v>#REF!</v>
      </c>
      <c r="R14" s="16" cm="1">
        <f t="array" ref="R14">SUMPRODUCT(($C$3:$C$998=$P14)*MMULT(IFERROR(TIMEVALUE(RIGHT($E$3:$K$998,5))-TIMEVALUE(LEFT($E$3:$K$998,5)),0),TRANSPOSE(COLUMN($E$2:$K$2)^0)))</f>
        <v>437.04166666666526</v>
      </c>
      <c r="S14">
        <v>637.5</v>
      </c>
      <c r="T14">
        <v>637.5</v>
      </c>
      <c r="V14" t="str">
        <f t="shared" si="1"/>
        <v>Riley Foster</v>
      </c>
      <c r="W14" t="s">
        <v>34</v>
      </c>
      <c r="X14" s="1">
        <v>15</v>
      </c>
      <c r="AD14" t="s">
        <v>47</v>
      </c>
      <c r="AE14" s="1">
        <v>15</v>
      </c>
      <c r="AF14" s="1" t="s">
        <v>7</v>
      </c>
      <c r="AG14" s="1" t="s">
        <v>7</v>
      </c>
      <c r="AH14" s="1" t="s">
        <v>7</v>
      </c>
      <c r="AI14" s="1" t="s">
        <v>7</v>
      </c>
      <c r="AJ14" s="1" t="s">
        <v>7</v>
      </c>
      <c r="AK14" s="1" t="s">
        <v>8</v>
      </c>
      <c r="AL14" s="1" t="s">
        <v>8</v>
      </c>
      <c r="AR14" s="16">
        <v>32.583333333333371</v>
      </c>
    </row>
    <row r="15" spans="1:46">
      <c r="A15" s="10" t="s">
        <v>48</v>
      </c>
      <c r="B15" s="11"/>
      <c r="C15" s="11"/>
      <c r="D15" s="10"/>
      <c r="E15" s="11" t="s">
        <v>12</v>
      </c>
      <c r="F15" s="11" t="s">
        <v>12</v>
      </c>
      <c r="G15" s="11" t="s">
        <v>12</v>
      </c>
      <c r="H15" s="11" t="s">
        <v>12</v>
      </c>
      <c r="I15" s="11" t="s">
        <v>12</v>
      </c>
      <c r="J15" s="11" t="s">
        <v>8</v>
      </c>
      <c r="K15" s="11" t="s">
        <v>8</v>
      </c>
      <c r="L15" s="8" cm="1">
        <f t="array" ref="L15">SUMPRODUCT(IFERROR(TIMEVALUE(RIGHT(#REF!,5))-TIMEVALUE(LEFT(#REF!,5)),0))</f>
        <v>0</v>
      </c>
      <c r="M15" s="3" cm="1">
        <f t="array" ref="M15">SUMPRODUCT(IFERROR(TIMEVALUE(RIGHT(E15:K15,5))-TIMEVALUE(LEFT(E15:K15,5)),0))</f>
        <v>1.770833333333333</v>
      </c>
      <c r="P15" s="10"/>
      <c r="Q15" s="16" t="e" cm="1">
        <f t="array" ref="Q15">SUMPRODUCT(($C$3:$C$998=$P15)*MMULT(IFERROR(TIMEVALUE(RIGHT(#REF!,5))-TIMEVALUE(LEFT(#REF!,5)),0),TRANSPOSE(COLUMN(#REF!)^0)))</f>
        <v>#REF!</v>
      </c>
      <c r="R15" s="16" cm="1">
        <f t="array" ref="R15">SUMPRODUCT(($C$3:$C$998=$P15)*MMULT(IFERROR(TIMEVALUE(RIGHT($E$3:$K$998,5))-TIMEVALUE(LEFT($E$3:$K$998,5)),0),TRANSPOSE(COLUMN($E$2:$K$2)^0)))</f>
        <v>437.04166666666526</v>
      </c>
      <c r="S15">
        <v>637.5</v>
      </c>
      <c r="T15">
        <v>637.5</v>
      </c>
      <c r="V15" t="str">
        <f t="shared" si="1"/>
        <v>Robin Clarke</v>
      </c>
      <c r="W15" t="s">
        <v>47</v>
      </c>
      <c r="X15" s="1">
        <v>15</v>
      </c>
      <c r="AD15" t="s">
        <v>37</v>
      </c>
      <c r="AE15" s="1">
        <v>15</v>
      </c>
      <c r="AF15" s="1" t="s">
        <v>8</v>
      </c>
      <c r="AG15" s="1" t="s">
        <v>22</v>
      </c>
      <c r="AH15" s="1" t="s">
        <v>22</v>
      </c>
      <c r="AI15" s="1" t="s">
        <v>22</v>
      </c>
      <c r="AJ15" s="1" t="s">
        <v>22</v>
      </c>
      <c r="AK15" s="1" t="s">
        <v>22</v>
      </c>
      <c r="AL15" s="1" t="s">
        <v>8</v>
      </c>
      <c r="AR15" s="17">
        <f>AR13+AR14</f>
        <v>416.57402777777776</v>
      </c>
    </row>
    <row r="16" spans="1:46">
      <c r="A16" s="10" t="s">
        <v>49</v>
      </c>
      <c r="B16" s="11"/>
      <c r="C16" s="11"/>
      <c r="D16" s="10"/>
      <c r="E16" s="11" t="s">
        <v>12</v>
      </c>
      <c r="F16" s="11" t="s">
        <v>12</v>
      </c>
      <c r="G16" s="11" t="s">
        <v>50</v>
      </c>
      <c r="H16" s="11" t="s">
        <v>12</v>
      </c>
      <c r="I16" s="11" t="s">
        <v>12</v>
      </c>
      <c r="J16" s="11" t="s">
        <v>8</v>
      </c>
      <c r="K16" s="11" t="s">
        <v>8</v>
      </c>
      <c r="L16" s="8" cm="1">
        <f t="array" ref="L16">SUMPRODUCT(IFERROR(TIMEVALUE(RIGHT(#REF!,5))-TIMEVALUE(LEFT(#REF!,5)),0))</f>
        <v>0</v>
      </c>
      <c r="M16" s="3" cm="1">
        <f t="array" ref="M16">SUMPRODUCT(IFERROR(TIMEVALUE(RIGHT(E16:K16,5))-TIMEVALUE(LEFT(E16:K16,5)),0))</f>
        <v>1.4166666666666665</v>
      </c>
      <c r="P16" s="10"/>
      <c r="Q16" s="16" t="e" cm="1">
        <f t="array" ref="Q16">SUMPRODUCT(($C$3:$C$998=$P16)*MMULT(IFERROR(TIMEVALUE(RIGHT(#REF!,5))-TIMEVALUE(LEFT(#REF!,5)),0),TRANSPOSE(COLUMN(#REF!)^0)))</f>
        <v>#REF!</v>
      </c>
      <c r="R16" s="16" cm="1">
        <f t="array" ref="R16">SUMPRODUCT(($C$3:$C$998=$P16)*MMULT(IFERROR(TIMEVALUE(RIGHT($E$3:$K$998,5))-TIMEVALUE(LEFT($E$3:$K$998,5)),0),TRANSPOSE(COLUMN($E$2:$K$2)^0)))</f>
        <v>437.04166666666526</v>
      </c>
      <c r="S16">
        <v>637.5</v>
      </c>
      <c r="T16">
        <v>637.5</v>
      </c>
      <c r="V16" t="str">
        <f t="shared" si="1"/>
        <v>Rory Sanderson</v>
      </c>
      <c r="W16" t="s">
        <v>51</v>
      </c>
      <c r="X16" s="1">
        <v>15</v>
      </c>
      <c r="AD16" t="s">
        <v>52</v>
      </c>
      <c r="AE16" s="1">
        <v>15</v>
      </c>
      <c r="AF16" s="1" t="s">
        <v>8</v>
      </c>
      <c r="AG16" s="1" t="s">
        <v>22</v>
      </c>
      <c r="AH16" s="1" t="s">
        <v>22</v>
      </c>
      <c r="AI16" s="1" t="s">
        <v>22</v>
      </c>
      <c r="AJ16" s="1" t="s">
        <v>22</v>
      </c>
      <c r="AK16" s="1" t="s">
        <v>22</v>
      </c>
      <c r="AL16" s="1" t="s">
        <v>8</v>
      </c>
    </row>
    <row r="17" spans="1:38">
      <c r="A17" s="10" t="s">
        <v>53</v>
      </c>
      <c r="B17" s="11"/>
      <c r="C17" s="11"/>
      <c r="D17" s="10"/>
      <c r="E17" s="11" t="s">
        <v>7</v>
      </c>
      <c r="F17" s="11" t="s">
        <v>7</v>
      </c>
      <c r="G17" s="11" t="s">
        <v>7</v>
      </c>
      <c r="H17" s="11" t="s">
        <v>7</v>
      </c>
      <c r="I17" s="11" t="s">
        <v>7</v>
      </c>
      <c r="J17" s="11" t="s">
        <v>8</v>
      </c>
      <c r="K17" s="11" t="s">
        <v>8</v>
      </c>
      <c r="L17" s="8" cm="1">
        <f t="array" ref="L17">SUMPRODUCT(IFERROR(TIMEVALUE(RIGHT(#REF!,5))-TIMEVALUE(LEFT(#REF!,5)),0))</f>
        <v>0</v>
      </c>
      <c r="M17" s="3" cm="1">
        <f t="array" ref="M17">SUMPRODUCT(IFERROR(TIMEVALUE(RIGHT(E17:K17,5))-TIMEVALUE(LEFT(E17:K17,5)),0))</f>
        <v>1.7708333333333335</v>
      </c>
      <c r="P17" s="10"/>
      <c r="Q17" s="16" t="e" cm="1">
        <f t="array" ref="Q17">SUMPRODUCT(($C$3:$C$998=$P17)*MMULT(IFERROR(TIMEVALUE(RIGHT(#REF!,5))-TIMEVALUE(LEFT(#REF!,5)),0),TRANSPOSE(COLUMN(#REF!)^0)))</f>
        <v>#REF!</v>
      </c>
      <c r="R17" s="16" cm="1">
        <f t="array" ref="R17">SUMPRODUCT(($C$3:$C$998=$P17)*MMULT(IFERROR(TIMEVALUE(RIGHT($E$3:$K$998,5))-TIMEVALUE(LEFT($E$3:$K$998,5)),0),TRANSPOSE(COLUMN($E$2:$K$2)^0)))</f>
        <v>437.04166666666526</v>
      </c>
      <c r="S17">
        <v>595</v>
      </c>
      <c r="T17">
        <v>595</v>
      </c>
      <c r="V17" t="str">
        <f t="shared" si="1"/>
        <v>Rowan Carter</v>
      </c>
      <c r="W17" t="s">
        <v>52</v>
      </c>
      <c r="X17" s="1">
        <v>15</v>
      </c>
      <c r="AD17" t="s">
        <v>30</v>
      </c>
      <c r="AE17" s="1">
        <v>14</v>
      </c>
      <c r="AF17" s="1" t="s">
        <v>7</v>
      </c>
      <c r="AG17" s="1" t="s">
        <v>7</v>
      </c>
      <c r="AH17" s="1" t="s">
        <v>7</v>
      </c>
      <c r="AI17" s="1" t="s">
        <v>7</v>
      </c>
      <c r="AJ17" s="1" t="s">
        <v>7</v>
      </c>
      <c r="AK17" s="1" t="s">
        <v>8</v>
      </c>
      <c r="AL17" s="1" t="s">
        <v>8</v>
      </c>
    </row>
    <row r="18" spans="1:38">
      <c r="A18" s="10" t="s">
        <v>54</v>
      </c>
      <c r="B18" s="11"/>
      <c r="C18" s="11"/>
      <c r="D18" s="10"/>
      <c r="E18" s="11" t="s">
        <v>12</v>
      </c>
      <c r="F18" s="11" t="s">
        <v>12</v>
      </c>
      <c r="G18" s="11" t="s">
        <v>12</v>
      </c>
      <c r="H18" s="11" t="s">
        <v>8</v>
      </c>
      <c r="I18" s="11" t="s">
        <v>8</v>
      </c>
      <c r="J18" s="11" t="s">
        <v>12</v>
      </c>
      <c r="K18" s="11" t="s">
        <v>12</v>
      </c>
      <c r="L18" s="8" cm="1">
        <f t="array" ref="L18">SUMPRODUCT(IFERROR(TIMEVALUE(RIGHT(#REF!,5))-TIMEVALUE(LEFT(#REF!,5)),0))</f>
        <v>0</v>
      </c>
      <c r="M18" s="3" cm="1">
        <f t="array" ref="M18">SUMPRODUCT(IFERROR(TIMEVALUE(RIGHT(E18:K18,5))-TIMEVALUE(LEFT(E18:K18,5)),0))</f>
        <v>1.770833333333333</v>
      </c>
      <c r="P18" s="10"/>
      <c r="Q18" s="16" t="e" cm="1">
        <f t="array" ref="Q18">SUMPRODUCT(($C$3:$C$998=$P18)*MMULT(IFERROR(TIMEVALUE(RIGHT(#REF!,5))-TIMEVALUE(LEFT(#REF!,5)),0),TRANSPOSE(COLUMN(#REF!)^0)))</f>
        <v>#REF!</v>
      </c>
      <c r="R18" s="16" cm="1">
        <f t="array" ref="R18">SUMPRODUCT(($C$3:$C$998=$P18)*MMULT(IFERROR(TIMEVALUE(RIGHT($E$3:$K$998,5))-TIMEVALUE(LEFT($E$3:$K$998,5)),0),TRANSPOSE(COLUMN($E$2:$K$2)^0)))</f>
        <v>437.04166666666526</v>
      </c>
      <c r="S18">
        <v>637.5</v>
      </c>
      <c r="T18">
        <v>637.5</v>
      </c>
      <c r="V18" t="str">
        <f t="shared" si="1"/>
        <v>Sam Avery</v>
      </c>
      <c r="W18" t="s">
        <v>45</v>
      </c>
      <c r="X18" s="1">
        <v>14</v>
      </c>
      <c r="AD18" t="s">
        <v>51</v>
      </c>
      <c r="AE18" s="1">
        <v>15</v>
      </c>
      <c r="AF18" s="1" t="s">
        <v>22</v>
      </c>
      <c r="AG18" s="1" t="s">
        <v>22</v>
      </c>
      <c r="AH18" s="1" t="s">
        <v>22</v>
      </c>
      <c r="AI18" s="1" t="s">
        <v>22</v>
      </c>
      <c r="AJ18" s="1" t="s">
        <v>8</v>
      </c>
      <c r="AK18" s="1" t="s">
        <v>8</v>
      </c>
      <c r="AL18" s="1" t="s">
        <v>22</v>
      </c>
    </row>
    <row r="19" spans="1:38">
      <c r="A19" s="10" t="s">
        <v>55</v>
      </c>
      <c r="B19" s="11"/>
      <c r="C19" s="11"/>
      <c r="D19" s="10"/>
      <c r="E19" s="11" t="s">
        <v>7</v>
      </c>
      <c r="F19" s="11" t="s">
        <v>8</v>
      </c>
      <c r="G19" s="11" t="s">
        <v>8</v>
      </c>
      <c r="H19" s="11" t="s">
        <v>7</v>
      </c>
      <c r="I19" s="11" t="s">
        <v>7</v>
      </c>
      <c r="J19" s="11" t="s">
        <v>7</v>
      </c>
      <c r="K19" s="11" t="s">
        <v>7</v>
      </c>
      <c r="L19" s="8" cm="1">
        <f t="array" ref="L19">SUMPRODUCT(IFERROR(TIMEVALUE(RIGHT(#REF!,5))-TIMEVALUE(LEFT(#REF!,5)),0))</f>
        <v>0</v>
      </c>
      <c r="M19" s="3" cm="1">
        <f t="array" ref="M19">SUMPRODUCT(IFERROR(TIMEVALUE(RIGHT(E19:K19,5))-TIMEVALUE(LEFT(E19:K19,5)),0))</f>
        <v>1.7708333333333335</v>
      </c>
      <c r="P19" s="10"/>
      <c r="Q19" s="16" t="e" cm="1">
        <f t="array" ref="Q19">SUMPRODUCT(($C$3:$C$998=$P19)*MMULT(IFERROR(TIMEVALUE(RIGHT(#REF!,5))-TIMEVALUE(LEFT(#REF!,5)),0),TRANSPOSE(COLUMN(#REF!)^0)))</f>
        <v>#REF!</v>
      </c>
      <c r="R19" s="16" cm="1">
        <f t="array" ref="R19">SUMPRODUCT(($C$3:$C$998=$P19)*MMULT(IFERROR(TIMEVALUE(RIGHT($E$3:$K$998,5))-TIMEVALUE(LEFT($E$3:$K$998,5)),0),TRANSPOSE(COLUMN($E$2:$K$2)^0)))</f>
        <v>437.04166666666526</v>
      </c>
      <c r="S19">
        <v>510</v>
      </c>
      <c r="T19">
        <v>510</v>
      </c>
      <c r="V19" t="str">
        <f t="shared" si="1"/>
        <v>Taylor Morgan</v>
      </c>
      <c r="W19" t="s">
        <v>21</v>
      </c>
      <c r="X19" s="1">
        <v>13</v>
      </c>
      <c r="AD19" t="s">
        <v>44</v>
      </c>
      <c r="AE19" s="1">
        <v>12</v>
      </c>
      <c r="AF19" s="1" t="s">
        <v>7</v>
      </c>
      <c r="AG19" s="1" t="s">
        <v>7</v>
      </c>
      <c r="AH19" s="1" t="s">
        <v>8</v>
      </c>
      <c r="AI19" s="1" t="s">
        <v>8</v>
      </c>
      <c r="AJ19" s="1" t="s">
        <v>7</v>
      </c>
      <c r="AK19" s="1" t="s">
        <v>7</v>
      </c>
      <c r="AL19" s="1" t="s">
        <v>7</v>
      </c>
    </row>
    <row r="20" spans="1:38">
      <c r="A20" s="10" t="s">
        <v>56</v>
      </c>
      <c r="B20" s="11"/>
      <c r="C20" s="11"/>
      <c r="D20" s="10"/>
      <c r="E20" s="11" t="s">
        <v>22</v>
      </c>
      <c r="F20" s="11" t="s">
        <v>8</v>
      </c>
      <c r="G20" s="11" t="s">
        <v>8</v>
      </c>
      <c r="H20" s="11" t="s">
        <v>22</v>
      </c>
      <c r="I20" s="11" t="s">
        <v>22</v>
      </c>
      <c r="J20" s="11" t="s">
        <v>22</v>
      </c>
      <c r="K20" s="11" t="s">
        <v>22</v>
      </c>
      <c r="L20" s="8" cm="1">
        <f t="array" ref="L20">SUMPRODUCT(IFERROR(TIMEVALUE(RIGHT(#REF!,5))-TIMEVALUE(LEFT(#REF!,5)),0))</f>
        <v>0</v>
      </c>
      <c r="M20" s="3" cm="1">
        <f t="array" ref="M20">SUMPRODUCT(IFERROR(TIMEVALUE(RIGHT(E20:K20,5))-TIMEVALUE(LEFT(E20:K20,5)),0))</f>
        <v>1.7708333333333335</v>
      </c>
      <c r="P20" s="10"/>
      <c r="Q20" s="16" t="e" cm="1">
        <f t="array" ref="Q20">SUMPRODUCT(($C$3:$C$998=$P20)*MMULT(IFERROR(TIMEVALUE(RIGHT(#REF!,5))-TIMEVALUE(LEFT(#REF!,5)),0),TRANSPOSE(COLUMN(#REF!)^0)))</f>
        <v>#REF!</v>
      </c>
      <c r="R20" s="16" cm="1">
        <f t="array" ref="R20">SUMPRODUCT(($C$3:$C$998=$P20)*MMULT(IFERROR(TIMEVALUE(RIGHT($E$3:$K$998,5))-TIMEVALUE(LEFT($E$3:$K$998,5)),0),TRANSPOSE(COLUMN($E$2:$K$2)^0)))</f>
        <v>437.04166666666526</v>
      </c>
      <c r="V20" t="str">
        <f t="shared" si="1"/>
        <v>Taylor Reed</v>
      </c>
      <c r="W20" t="s">
        <v>31</v>
      </c>
      <c r="X20" s="1">
        <v>15</v>
      </c>
      <c r="AD20" t="s">
        <v>20</v>
      </c>
      <c r="AE20" s="1">
        <v>36</v>
      </c>
      <c r="AF20" s="1" t="s">
        <v>27</v>
      </c>
      <c r="AG20" s="1" t="s">
        <v>27</v>
      </c>
      <c r="AH20" s="1" t="s">
        <v>27</v>
      </c>
      <c r="AI20" s="1" t="s">
        <v>27</v>
      </c>
      <c r="AJ20" s="1" t="s">
        <v>27</v>
      </c>
      <c r="AK20" s="1" t="s">
        <v>8</v>
      </c>
      <c r="AL20" s="1" t="s">
        <v>8</v>
      </c>
    </row>
    <row r="21" spans="1:38">
      <c r="A21" s="10" t="s">
        <v>57</v>
      </c>
      <c r="B21" s="11"/>
      <c r="C21" s="11"/>
      <c r="D21" s="10"/>
      <c r="E21" s="11" t="s">
        <v>22</v>
      </c>
      <c r="F21" s="11" t="s">
        <v>22</v>
      </c>
      <c r="G21" s="11" t="s">
        <v>22</v>
      </c>
      <c r="H21" s="11" t="s">
        <v>22</v>
      </c>
      <c r="I21" s="11" t="s">
        <v>22</v>
      </c>
      <c r="J21" s="11" t="s">
        <v>8</v>
      </c>
      <c r="K21" s="11" t="s">
        <v>8</v>
      </c>
      <c r="L21" s="8" cm="1">
        <f t="array" ref="L21">SUMPRODUCT(IFERROR(TIMEVALUE(RIGHT(#REF!,5))-TIMEVALUE(LEFT(#REF!,5)),0))</f>
        <v>0</v>
      </c>
      <c r="M21" s="3" cm="1">
        <f t="array" ref="M21">SUMPRODUCT(IFERROR(TIMEVALUE(RIGHT(E21:K21,5))-TIMEVALUE(LEFT(E21:K21,5)),0))</f>
        <v>1.7708333333333335</v>
      </c>
      <c r="P21" s="10"/>
      <c r="Q21" s="16" t="e">
        <f>SUM(Q5:Q20)</f>
        <v>#REF!</v>
      </c>
      <c r="R21" s="16">
        <f>SUM(R5:R20)</f>
        <v>6992.6666666666433</v>
      </c>
      <c r="W21" t="s">
        <v>58</v>
      </c>
      <c r="X21" s="1">
        <v>251</v>
      </c>
      <c r="AD21" t="s">
        <v>59</v>
      </c>
      <c r="AF21" s="1" t="s">
        <v>22</v>
      </c>
      <c r="AG21" s="1" t="s">
        <v>22</v>
      </c>
      <c r="AH21" s="1" t="s">
        <v>22</v>
      </c>
      <c r="AI21" s="1" t="s">
        <v>22</v>
      </c>
      <c r="AJ21" s="1" t="s">
        <v>22</v>
      </c>
      <c r="AK21" s="1" t="s">
        <v>8</v>
      </c>
      <c r="AL21" s="1" t="s">
        <v>8</v>
      </c>
    </row>
    <row r="22" spans="1:38">
      <c r="A22" s="10" t="s">
        <v>60</v>
      </c>
      <c r="B22" s="11"/>
      <c r="C22" s="11"/>
      <c r="D22" s="10"/>
      <c r="E22" s="11" t="s">
        <v>22</v>
      </c>
      <c r="F22" s="11" t="s">
        <v>22</v>
      </c>
      <c r="G22" s="11" t="s">
        <v>22</v>
      </c>
      <c r="H22" s="11" t="s">
        <v>22</v>
      </c>
      <c r="I22" s="11" t="s">
        <v>22</v>
      </c>
      <c r="J22" s="11" t="s">
        <v>8</v>
      </c>
      <c r="K22" s="11" t="s">
        <v>8</v>
      </c>
      <c r="L22" s="8" cm="1">
        <f t="array" ref="L22">SUMPRODUCT(IFERROR(TIMEVALUE(RIGHT(#REF!,5))-TIMEVALUE(LEFT(#REF!,5)),0))</f>
        <v>0</v>
      </c>
      <c r="M22" s="3" cm="1">
        <f t="array" ref="M22">SUMPRODUCT(IFERROR(TIMEVALUE(RIGHT(E22:K22,5))-TIMEVALUE(LEFT(E22:K22,5)),0))</f>
        <v>1.7708333333333335</v>
      </c>
      <c r="Q22" s="19">
        <v>410</v>
      </c>
      <c r="R22" s="19">
        <v>410</v>
      </c>
      <c r="AD22" t="s">
        <v>61</v>
      </c>
      <c r="AF22" s="1" t="s">
        <v>27</v>
      </c>
      <c r="AG22" s="1" t="s">
        <v>27</v>
      </c>
      <c r="AH22" s="1" t="s">
        <v>27</v>
      </c>
      <c r="AI22" s="1" t="s">
        <v>27</v>
      </c>
      <c r="AJ22" s="1" t="s">
        <v>27</v>
      </c>
      <c r="AK22" s="1" t="s">
        <v>8</v>
      </c>
      <c r="AL22" s="1" t="s">
        <v>8</v>
      </c>
    </row>
    <row r="23" spans="1:38">
      <c r="A23" s="10" t="s">
        <v>62</v>
      </c>
      <c r="B23" s="11"/>
      <c r="C23" s="11"/>
      <c r="D23" s="10"/>
      <c r="E23" s="11" t="s">
        <v>22</v>
      </c>
      <c r="F23" s="11" t="s">
        <v>22</v>
      </c>
      <c r="G23" s="11" t="s">
        <v>22</v>
      </c>
      <c r="H23" s="11" t="s">
        <v>22</v>
      </c>
      <c r="I23" s="11" t="s">
        <v>22</v>
      </c>
      <c r="J23" s="11" t="s">
        <v>8</v>
      </c>
      <c r="K23" s="11" t="s">
        <v>8</v>
      </c>
      <c r="L23" s="8" cm="1">
        <f t="array" ref="L23">SUMPRODUCT(IFERROR(TIMEVALUE(RIGHT(#REF!,5))-TIMEVALUE(LEFT(#REF!,5)),0))</f>
        <v>0</v>
      </c>
      <c r="M23" s="3" cm="1">
        <f t="array" ref="M23">SUMPRODUCT(IFERROR(TIMEVALUE(RIGHT(E23:K23,5))-TIMEVALUE(LEFT(E23:K23,5)),0))</f>
        <v>1.7708333333333335</v>
      </c>
      <c r="Q23" s="19" t="e">
        <f>Q21-Q22</f>
        <v>#REF!</v>
      </c>
      <c r="R23" s="19">
        <f>R21-R22</f>
        <v>6582.6666666666433</v>
      </c>
      <c r="AD23" t="s">
        <v>63</v>
      </c>
      <c r="AF23" s="1" t="s">
        <v>27</v>
      </c>
      <c r="AG23" s="1" t="s">
        <v>27</v>
      </c>
      <c r="AH23" s="1" t="s">
        <v>27</v>
      </c>
      <c r="AI23" s="1" t="s">
        <v>27</v>
      </c>
      <c r="AJ23" s="1" t="s">
        <v>27</v>
      </c>
      <c r="AK23" s="1" t="s">
        <v>8</v>
      </c>
      <c r="AL23" s="1" t="s">
        <v>8</v>
      </c>
    </row>
    <row r="24" spans="1:38">
      <c r="A24" s="10" t="s">
        <v>64</v>
      </c>
      <c r="B24" s="11"/>
      <c r="C24" s="11"/>
      <c r="D24" s="10"/>
      <c r="E24" s="11" t="s">
        <v>22</v>
      </c>
      <c r="F24" s="11" t="s">
        <v>22</v>
      </c>
      <c r="G24" s="11" t="s">
        <v>22</v>
      </c>
      <c r="H24" s="11" t="s">
        <v>22</v>
      </c>
      <c r="I24" s="11" t="s">
        <v>22</v>
      </c>
      <c r="J24" s="11" t="s">
        <v>8</v>
      </c>
      <c r="K24" s="11" t="s">
        <v>8</v>
      </c>
      <c r="L24" s="8" cm="1">
        <f t="array" ref="L24">SUMPRODUCT(IFERROR(TIMEVALUE(RIGHT(#REF!,5))-TIMEVALUE(LEFT(#REF!,5)),0))</f>
        <v>0</v>
      </c>
      <c r="M24" s="3" cm="1">
        <f t="array" ref="M24">SUMPRODUCT(IFERROR(TIMEVALUE(RIGHT(E24:K24,5))-TIMEVALUE(LEFT(E24:K24,5)),0))</f>
        <v>1.7708333333333335</v>
      </c>
      <c r="AD24" t="s">
        <v>65</v>
      </c>
      <c r="AE24" s="9"/>
      <c r="AF24" s="1" t="s">
        <v>27</v>
      </c>
      <c r="AG24" s="1" t="s">
        <v>27</v>
      </c>
      <c r="AH24" s="1" t="s">
        <v>27</v>
      </c>
      <c r="AI24" s="1" t="s">
        <v>27</v>
      </c>
      <c r="AJ24" s="1" t="s">
        <v>27</v>
      </c>
      <c r="AK24" s="1" t="s">
        <v>8</v>
      </c>
      <c r="AL24" s="1" t="s">
        <v>8</v>
      </c>
    </row>
    <row r="25" spans="1:38">
      <c r="A25" s="10" t="s">
        <v>66</v>
      </c>
      <c r="B25" s="11"/>
      <c r="C25" s="11"/>
      <c r="D25" s="10"/>
      <c r="E25" s="11" t="s">
        <v>22</v>
      </c>
      <c r="F25" s="11" t="s">
        <v>22</v>
      </c>
      <c r="G25" s="11" t="s">
        <v>22</v>
      </c>
      <c r="H25" s="11" t="s">
        <v>22</v>
      </c>
      <c r="I25" s="11" t="s">
        <v>22</v>
      </c>
      <c r="J25" s="11" t="s">
        <v>8</v>
      </c>
      <c r="K25" s="11" t="s">
        <v>8</v>
      </c>
      <c r="L25" s="8" cm="1">
        <f t="array" ref="L25">SUMPRODUCT(IFERROR(TIMEVALUE(RIGHT(#REF!,5))-TIMEVALUE(LEFT(#REF!,5)),0))</f>
        <v>0</v>
      </c>
      <c r="M25" s="3" cm="1">
        <f t="array" ref="M25">SUMPRODUCT(IFERROR(TIMEVALUE(RIGHT(E25:K25,5))-TIMEVALUE(LEFT(E25:K25,5)),0))</f>
        <v>1.7708333333333335</v>
      </c>
      <c r="AD25" t="s">
        <v>67</v>
      </c>
      <c r="AE25" s="9"/>
      <c r="AF25" s="1" t="s">
        <v>27</v>
      </c>
      <c r="AG25" s="1" t="s">
        <v>27</v>
      </c>
      <c r="AH25" s="1" t="s">
        <v>27</v>
      </c>
      <c r="AI25" s="1" t="s">
        <v>27</v>
      </c>
      <c r="AJ25" s="1" t="s">
        <v>27</v>
      </c>
      <c r="AK25" s="1" t="s">
        <v>8</v>
      </c>
      <c r="AL25" s="1" t="s">
        <v>8</v>
      </c>
    </row>
    <row r="26" spans="1:38">
      <c r="A26" s="10" t="s">
        <v>68</v>
      </c>
      <c r="B26" s="11"/>
      <c r="C26" s="11"/>
      <c r="D26" s="10"/>
      <c r="E26" s="11" t="s">
        <v>27</v>
      </c>
      <c r="F26" s="11" t="s">
        <v>27</v>
      </c>
      <c r="G26" s="11" t="s">
        <v>27</v>
      </c>
      <c r="H26" s="11" t="s">
        <v>27</v>
      </c>
      <c r="I26" s="11" t="s">
        <v>27</v>
      </c>
      <c r="J26" s="11" t="s">
        <v>8</v>
      </c>
      <c r="K26" s="11" t="s">
        <v>8</v>
      </c>
      <c r="L26" s="8" cm="1">
        <f t="array" ref="L26">SUMPRODUCT(IFERROR(TIMEVALUE(RIGHT(#REF!,5))-TIMEVALUE(LEFT(#REF!,5)),0))</f>
        <v>0</v>
      </c>
      <c r="M26" s="3" cm="1">
        <f t="array" ref="M26">SUMPRODUCT(IFERROR(TIMEVALUE(RIGHT(E26:K26,5))-TIMEVALUE(LEFT(E26:K26,5)),0))</f>
        <v>1.7708333333333335</v>
      </c>
    </row>
    <row r="27" spans="1:38">
      <c r="A27" s="10" t="s">
        <v>69</v>
      </c>
      <c r="B27" s="11"/>
      <c r="C27" s="11"/>
      <c r="D27" s="10"/>
      <c r="E27" s="11" t="s">
        <v>22</v>
      </c>
      <c r="F27" s="11" t="s">
        <v>22</v>
      </c>
      <c r="G27" s="11" t="s">
        <v>22</v>
      </c>
      <c r="H27" s="11" t="s">
        <v>8</v>
      </c>
      <c r="I27" s="11" t="s">
        <v>8</v>
      </c>
      <c r="J27" s="11" t="s">
        <v>22</v>
      </c>
      <c r="K27" s="11" t="s">
        <v>22</v>
      </c>
      <c r="L27" s="8" cm="1">
        <f t="array" ref="L27">SUMPRODUCT(IFERROR(TIMEVALUE(RIGHT(#REF!,5))-TIMEVALUE(LEFT(#REF!,5)),0))</f>
        <v>0</v>
      </c>
      <c r="M27" s="3" cm="1">
        <f t="array" ref="M27">SUMPRODUCT(IFERROR(TIMEVALUE(RIGHT(E27:K27,5))-TIMEVALUE(LEFT(E27:K27,5)),0))</f>
        <v>1.7708333333333335</v>
      </c>
    </row>
    <row r="28" spans="1:38">
      <c r="A28" s="10" t="s">
        <v>70</v>
      </c>
      <c r="B28" s="11"/>
      <c r="C28" s="11"/>
      <c r="D28" s="10"/>
      <c r="E28" s="11" t="s">
        <v>8</v>
      </c>
      <c r="F28" s="11" t="s">
        <v>22</v>
      </c>
      <c r="G28" s="11" t="s">
        <v>22</v>
      </c>
      <c r="H28" s="11" t="s">
        <v>22</v>
      </c>
      <c r="I28" s="11" t="s">
        <v>22</v>
      </c>
      <c r="J28" s="11" t="s">
        <v>22</v>
      </c>
      <c r="K28" s="11" t="s">
        <v>8</v>
      </c>
      <c r="L28" s="8" cm="1">
        <f t="array" ref="L28">SUMPRODUCT(IFERROR(TIMEVALUE(RIGHT(#REF!,5))-TIMEVALUE(LEFT(#REF!,5)),0))</f>
        <v>0</v>
      </c>
      <c r="M28" s="3" cm="1">
        <f t="array" ref="M28">SUMPRODUCT(IFERROR(TIMEVALUE(RIGHT(E28:K28,5))-TIMEVALUE(LEFT(E28:K28,5)),0))</f>
        <v>1.7708333333333335</v>
      </c>
    </row>
    <row r="29" spans="1:38">
      <c r="A29" s="10" t="s">
        <v>71</v>
      </c>
      <c r="B29" s="11"/>
      <c r="C29" s="11"/>
      <c r="D29" s="10"/>
      <c r="E29" s="11" t="s">
        <v>12</v>
      </c>
      <c r="F29" s="11" t="s">
        <v>12</v>
      </c>
      <c r="G29" s="11" t="s">
        <v>12</v>
      </c>
      <c r="H29" s="11" t="s">
        <v>12</v>
      </c>
      <c r="I29" s="11" t="s">
        <v>8</v>
      </c>
      <c r="J29" s="11" t="s">
        <v>8</v>
      </c>
      <c r="K29" s="11" t="s">
        <v>12</v>
      </c>
      <c r="L29" s="8" cm="1">
        <f t="array" ref="L29">SUMPRODUCT(IFERROR(TIMEVALUE(RIGHT(#REF!,5))-TIMEVALUE(LEFT(#REF!,5)),0))</f>
        <v>0</v>
      </c>
      <c r="M29" s="3" cm="1">
        <f t="array" ref="M29">SUMPRODUCT(IFERROR(TIMEVALUE(RIGHT(E29:K29,5))-TIMEVALUE(LEFT(E29:K29,5)),0))</f>
        <v>1.770833333333333</v>
      </c>
    </row>
    <row r="30" spans="1:38">
      <c r="A30" s="10" t="s">
        <v>72</v>
      </c>
      <c r="B30" s="11"/>
      <c r="C30" s="11"/>
      <c r="D30" s="10"/>
      <c r="E30" s="11" t="s">
        <v>8</v>
      </c>
      <c r="F30" s="11" t="s">
        <v>12</v>
      </c>
      <c r="G30" s="11" t="s">
        <v>12</v>
      </c>
      <c r="H30" s="11" t="s">
        <v>12</v>
      </c>
      <c r="I30" s="11" t="s">
        <v>12</v>
      </c>
      <c r="J30" s="11" t="s">
        <v>12</v>
      </c>
      <c r="K30" s="11" t="s">
        <v>8</v>
      </c>
      <c r="L30" s="8" cm="1">
        <f t="array" ref="L30">SUMPRODUCT(IFERROR(TIMEVALUE(RIGHT(#REF!,5))-TIMEVALUE(LEFT(#REF!,5)),0))</f>
        <v>0</v>
      </c>
      <c r="M30" s="3" cm="1">
        <f t="array" ref="M30">SUMPRODUCT(IFERROR(TIMEVALUE(RIGHT(E30:K30,5))-TIMEVALUE(LEFT(E30:K30,5)),0))</f>
        <v>1.770833333333333</v>
      </c>
      <c r="AD30" s="4" t="s">
        <v>22</v>
      </c>
      <c r="AE30" s="10"/>
      <c r="AF30" s="11">
        <f>COUNTIF(AF$5:AF$28,$AD30)</f>
        <v>3</v>
      </c>
      <c r="AG30" s="11">
        <f>COUNTIF(AG$5:AG$28,$AD30)</f>
        <v>5</v>
      </c>
      <c r="AH30" s="11">
        <f t="shared" ref="AH30:AL30" si="2">COUNTIF(AH$5:AH$28,$AD30)</f>
        <v>5</v>
      </c>
      <c r="AI30" s="11">
        <f t="shared" si="2"/>
        <v>5</v>
      </c>
      <c r="AJ30" s="11">
        <f t="shared" si="2"/>
        <v>3</v>
      </c>
      <c r="AK30" s="11">
        <f t="shared" si="2"/>
        <v>2</v>
      </c>
      <c r="AL30" s="11">
        <f t="shared" si="2"/>
        <v>2</v>
      </c>
    </row>
    <row r="31" spans="1:38">
      <c r="A31" s="10" t="s">
        <v>73</v>
      </c>
      <c r="B31" s="11"/>
      <c r="C31" s="11"/>
      <c r="D31" s="10"/>
      <c r="E31" s="11" t="s">
        <v>12</v>
      </c>
      <c r="F31" s="11" t="s">
        <v>12</v>
      </c>
      <c r="G31" s="11" t="s">
        <v>12</v>
      </c>
      <c r="H31" s="11" t="s">
        <v>12</v>
      </c>
      <c r="I31" s="11" t="s">
        <v>12</v>
      </c>
      <c r="J31" s="11" t="s">
        <v>8</v>
      </c>
      <c r="K31" s="11" t="s">
        <v>8</v>
      </c>
      <c r="L31" s="8" cm="1">
        <f t="array" ref="L31">SUMPRODUCT(IFERROR(TIMEVALUE(RIGHT(#REF!,5))-TIMEVALUE(LEFT(#REF!,5)),0))</f>
        <v>0</v>
      </c>
      <c r="M31" s="3" cm="1">
        <f t="array" ref="M31">SUMPRODUCT(IFERROR(TIMEVALUE(RIGHT(E31:K31,5))-TIMEVALUE(LEFT(E31:K31,5)),0))</f>
        <v>1.770833333333333</v>
      </c>
      <c r="AD31" s="4" t="s">
        <v>27</v>
      </c>
      <c r="AE31" s="10"/>
      <c r="AF31" s="11">
        <f t="shared" ref="AF31:AL34" si="3">COUNTIF(AF$5:AF$28,$AD31)</f>
        <v>8</v>
      </c>
      <c r="AG31" s="11">
        <f t="shared" si="3"/>
        <v>8</v>
      </c>
      <c r="AH31" s="11">
        <f t="shared" si="3"/>
        <v>8</v>
      </c>
      <c r="AI31" s="11">
        <f t="shared" si="3"/>
        <v>8</v>
      </c>
      <c r="AJ31" s="11">
        <f t="shared" si="3"/>
        <v>8</v>
      </c>
      <c r="AK31" s="11">
        <f t="shared" si="3"/>
        <v>0</v>
      </c>
      <c r="AL31" s="11">
        <f t="shared" si="3"/>
        <v>0</v>
      </c>
    </row>
    <row r="32" spans="1:38">
      <c r="A32" s="10" t="s">
        <v>74</v>
      </c>
      <c r="B32" s="11"/>
      <c r="C32" s="11"/>
      <c r="D32" s="10"/>
      <c r="E32" s="11" t="s">
        <v>7</v>
      </c>
      <c r="F32" s="11" t="s">
        <v>8</v>
      </c>
      <c r="G32" s="11" t="s">
        <v>8</v>
      </c>
      <c r="H32" s="11" t="s">
        <v>75</v>
      </c>
      <c r="I32" s="11" t="s">
        <v>75</v>
      </c>
      <c r="J32" s="11" t="s">
        <v>75</v>
      </c>
      <c r="K32" s="11" t="s">
        <v>7</v>
      </c>
      <c r="L32" s="8" cm="1">
        <f t="array" ref="L32">SUMPRODUCT(IFERROR(TIMEVALUE(RIGHT(#REF!,5))-TIMEVALUE(LEFT(#REF!,5)),0))</f>
        <v>0</v>
      </c>
      <c r="M32" s="3" cm="1">
        <f t="array" ref="M32">SUMPRODUCT(IFERROR(TIMEVALUE(RIGHT(E32:K32,5))-TIMEVALUE(LEFT(E32:K32,5)),0))</f>
        <v>0.70833333333333337</v>
      </c>
      <c r="AD32" s="4" t="s">
        <v>12</v>
      </c>
      <c r="AE32" s="10"/>
      <c r="AF32" s="11">
        <f t="shared" si="3"/>
        <v>3</v>
      </c>
      <c r="AG32" s="11">
        <f t="shared" si="3"/>
        <v>2</v>
      </c>
      <c r="AH32" s="11">
        <f t="shared" si="3"/>
        <v>2</v>
      </c>
      <c r="AI32" s="11">
        <f t="shared" si="3"/>
        <v>2</v>
      </c>
      <c r="AJ32" s="11">
        <f t="shared" si="3"/>
        <v>2</v>
      </c>
      <c r="AK32" s="11">
        <f t="shared" si="3"/>
        <v>2</v>
      </c>
      <c r="AL32" s="11">
        <f t="shared" si="3"/>
        <v>2</v>
      </c>
    </row>
    <row r="33" spans="1:39" s="9" customFormat="1">
      <c r="A33" s="10" t="s">
        <v>76</v>
      </c>
      <c r="B33" s="11"/>
      <c r="C33" s="11"/>
      <c r="D33" s="10"/>
      <c r="E33" s="11" t="s">
        <v>8</v>
      </c>
      <c r="F33" s="11" t="s">
        <v>8</v>
      </c>
      <c r="G33" s="11" t="s">
        <v>22</v>
      </c>
      <c r="H33" s="11" t="s">
        <v>22</v>
      </c>
      <c r="I33" s="11" t="s">
        <v>22</v>
      </c>
      <c r="J33" s="11" t="s">
        <v>22</v>
      </c>
      <c r="K33" s="11" t="s">
        <v>22</v>
      </c>
      <c r="L33" s="8" cm="1">
        <f t="array" ref="L33">SUMPRODUCT(IFERROR(TIMEVALUE(RIGHT(#REF!,5))-TIMEVALUE(LEFT(#REF!,5)),0))</f>
        <v>0</v>
      </c>
      <c r="M33" s="3" cm="1">
        <f t="array" ref="M33">SUMPRODUCT(IFERROR(TIMEVALUE(RIGHT(E33:K33,5))-TIMEVALUE(LEFT(E33:K33,5)),0))</f>
        <v>1.7708333333333335</v>
      </c>
      <c r="X33" s="2"/>
      <c r="AD33" s="4" t="s">
        <v>7</v>
      </c>
      <c r="AE33" s="10"/>
      <c r="AF33" s="11">
        <f t="shared" si="3"/>
        <v>5</v>
      </c>
      <c r="AG33" s="11">
        <f t="shared" si="3"/>
        <v>5</v>
      </c>
      <c r="AH33" s="11">
        <f t="shared" si="3"/>
        <v>4</v>
      </c>
      <c r="AI33" s="11">
        <f t="shared" si="3"/>
        <v>3</v>
      </c>
      <c r="AJ33" s="11">
        <f t="shared" si="3"/>
        <v>3</v>
      </c>
      <c r="AK33" s="11">
        <f t="shared" si="3"/>
        <v>2</v>
      </c>
      <c r="AL33" s="11">
        <f t="shared" si="3"/>
        <v>3</v>
      </c>
    </row>
    <row r="34" spans="1:39" s="9" customFormat="1">
      <c r="A34" s="10" t="s">
        <v>77</v>
      </c>
      <c r="B34" s="11"/>
      <c r="C34" s="11"/>
      <c r="D34" s="10"/>
      <c r="E34" s="11" t="s">
        <v>8</v>
      </c>
      <c r="F34" s="11" t="s">
        <v>22</v>
      </c>
      <c r="G34" s="11" t="s">
        <v>22</v>
      </c>
      <c r="H34" s="11" t="s">
        <v>22</v>
      </c>
      <c r="I34" s="11" t="s">
        <v>22</v>
      </c>
      <c r="J34" s="11" t="s">
        <v>22</v>
      </c>
      <c r="K34" s="11" t="s">
        <v>8</v>
      </c>
      <c r="L34" s="8" cm="1">
        <f t="array" ref="L34">SUMPRODUCT(IFERROR(TIMEVALUE(RIGHT(#REF!,5))-TIMEVALUE(LEFT(#REF!,5)),0))</f>
        <v>0</v>
      </c>
      <c r="M34" s="3" cm="1">
        <f t="array" ref="M34">SUMPRODUCT(IFERROR(TIMEVALUE(RIGHT(E34:K34,5))-TIMEVALUE(LEFT(E34:K34,5)),0))</f>
        <v>1.7708333333333335</v>
      </c>
      <c r="X34" s="2"/>
      <c r="AD34" s="10" t="s">
        <v>8</v>
      </c>
      <c r="AE34" s="10"/>
      <c r="AF34" s="11">
        <f t="shared" si="3"/>
        <v>2</v>
      </c>
      <c r="AG34" s="11">
        <f t="shared" si="3"/>
        <v>1</v>
      </c>
      <c r="AH34" s="11">
        <f t="shared" si="3"/>
        <v>2</v>
      </c>
      <c r="AI34" s="11">
        <f t="shared" si="3"/>
        <v>3</v>
      </c>
      <c r="AJ34" s="11">
        <f t="shared" si="3"/>
        <v>5</v>
      </c>
      <c r="AK34" s="11">
        <f t="shared" si="3"/>
        <v>15</v>
      </c>
      <c r="AL34" s="11">
        <f t="shared" si="3"/>
        <v>14</v>
      </c>
    </row>
    <row r="35" spans="1:39" s="9" customFormat="1">
      <c r="A35" s="10" t="s">
        <v>78</v>
      </c>
      <c r="B35" s="11"/>
      <c r="C35" s="11"/>
      <c r="D35" s="10"/>
      <c r="E35" s="11" t="s">
        <v>22</v>
      </c>
      <c r="F35" s="11" t="s">
        <v>22</v>
      </c>
      <c r="G35" s="11" t="s">
        <v>22</v>
      </c>
      <c r="H35" s="11" t="s">
        <v>22</v>
      </c>
      <c r="I35" s="11" t="s">
        <v>22</v>
      </c>
      <c r="J35" s="11" t="s">
        <v>8</v>
      </c>
      <c r="K35" s="11" t="s">
        <v>8</v>
      </c>
      <c r="L35" s="8" cm="1">
        <f t="array" ref="L35">SUMPRODUCT(IFERROR(TIMEVALUE(RIGHT(#REF!,5))-TIMEVALUE(LEFT(#REF!,5)),0))</f>
        <v>0</v>
      </c>
      <c r="M35" s="3" cm="1">
        <f t="array" ref="M35">SUMPRODUCT(IFERROR(TIMEVALUE(RIGHT(E35:K35,5))-TIMEVALUE(LEFT(E35:K35,5)),0))</f>
        <v>1.7708333333333335</v>
      </c>
      <c r="X35" s="2"/>
      <c r="AD35"/>
      <c r="AE35"/>
      <c r="AF35" s="1"/>
      <c r="AG35" s="1"/>
      <c r="AH35" s="1"/>
      <c r="AI35" s="1"/>
      <c r="AJ35" s="1"/>
      <c r="AK35" s="1"/>
      <c r="AL35" s="1"/>
    </row>
    <row r="36" spans="1:39" s="9" customFormat="1">
      <c r="A36" s="10" t="s">
        <v>79</v>
      </c>
      <c r="B36" s="11"/>
      <c r="C36" s="11"/>
      <c r="D36" s="10"/>
      <c r="E36" s="11" t="s">
        <v>22</v>
      </c>
      <c r="F36" s="11" t="s">
        <v>22</v>
      </c>
      <c r="G36" s="11" t="s">
        <v>22</v>
      </c>
      <c r="H36" s="11" t="s">
        <v>8</v>
      </c>
      <c r="I36" s="11" t="s">
        <v>8</v>
      </c>
      <c r="J36" s="11" t="s">
        <v>22</v>
      </c>
      <c r="K36" s="11" t="s">
        <v>22</v>
      </c>
      <c r="L36" s="8" cm="1">
        <f t="array" ref="L36">SUMPRODUCT(IFERROR(TIMEVALUE(RIGHT(#REF!,5))-TIMEVALUE(LEFT(#REF!,5)),0))</f>
        <v>0</v>
      </c>
      <c r="M36" s="3" cm="1">
        <f t="array" ref="M36">SUMPRODUCT(IFERROR(TIMEVALUE(RIGHT(E36:K36,5))-TIMEVALUE(LEFT(E36:K36,5)),0))</f>
        <v>1.7708333333333335</v>
      </c>
      <c r="X36" s="2"/>
      <c r="AD36"/>
      <c r="AE36"/>
      <c r="AF36" s="1"/>
      <c r="AG36" s="1"/>
      <c r="AH36" s="1"/>
      <c r="AI36" s="1"/>
      <c r="AJ36" s="1"/>
      <c r="AK36" s="1"/>
      <c r="AL36" s="1"/>
    </row>
    <row r="37" spans="1:39" s="9" customFormat="1">
      <c r="A37" s="10" t="s">
        <v>80</v>
      </c>
      <c r="B37" s="11"/>
      <c r="C37" s="11"/>
      <c r="D37" s="10"/>
      <c r="E37" s="11" t="s">
        <v>22</v>
      </c>
      <c r="F37" s="11" t="s">
        <v>22</v>
      </c>
      <c r="G37" s="11" t="s">
        <v>22</v>
      </c>
      <c r="H37" s="11" t="s">
        <v>22</v>
      </c>
      <c r="I37" s="11" t="s">
        <v>22</v>
      </c>
      <c r="J37" s="11" t="s">
        <v>8</v>
      </c>
      <c r="K37" s="11" t="s">
        <v>8</v>
      </c>
      <c r="L37" s="8" cm="1">
        <f t="array" ref="L37">SUMPRODUCT(IFERROR(TIMEVALUE(RIGHT(#REF!,5))-TIMEVALUE(LEFT(#REF!,5)),0))</f>
        <v>0</v>
      </c>
      <c r="M37" s="3" cm="1">
        <f t="array" ref="M37">SUMPRODUCT(IFERROR(TIMEVALUE(RIGHT(E37:K37,5))-TIMEVALUE(LEFT(E37:K37,5)),0))</f>
        <v>1.7708333333333335</v>
      </c>
      <c r="X37" s="2"/>
      <c r="AD37"/>
      <c r="AE37"/>
      <c r="AF37" s="1"/>
      <c r="AG37" s="1"/>
      <c r="AH37" s="1"/>
      <c r="AI37" s="1"/>
      <c r="AJ37" s="1"/>
      <c r="AK37" s="1"/>
      <c r="AL37" s="1"/>
    </row>
    <row r="38" spans="1:39" s="9" customFormat="1">
      <c r="A38" s="10" t="s">
        <v>81</v>
      </c>
      <c r="B38" s="11"/>
      <c r="C38" s="11"/>
      <c r="D38" s="10"/>
      <c r="E38" s="11" t="s">
        <v>22</v>
      </c>
      <c r="F38" s="11" t="s">
        <v>22</v>
      </c>
      <c r="G38" s="11" t="s">
        <v>22</v>
      </c>
      <c r="H38" s="11" t="s">
        <v>22</v>
      </c>
      <c r="I38" s="11" t="s">
        <v>22</v>
      </c>
      <c r="J38" s="11" t="s">
        <v>8</v>
      </c>
      <c r="K38" s="11" t="s">
        <v>8</v>
      </c>
      <c r="L38" s="8" cm="1">
        <f t="array" ref="L38">SUMPRODUCT(IFERROR(TIMEVALUE(RIGHT(#REF!,5))-TIMEVALUE(LEFT(#REF!,5)),0))</f>
        <v>0</v>
      </c>
      <c r="M38" s="3" cm="1">
        <f t="array" ref="M38">SUMPRODUCT(IFERROR(TIMEVALUE(RIGHT(E38:K38,5))-TIMEVALUE(LEFT(E38:K38,5)),0))</f>
        <v>1.7708333333333335</v>
      </c>
      <c r="X38" s="2"/>
      <c r="AD38"/>
      <c r="AE38"/>
      <c r="AF38" s="1"/>
      <c r="AG38" s="1"/>
      <c r="AH38" s="1"/>
      <c r="AI38" s="1"/>
      <c r="AJ38" s="1"/>
      <c r="AK38" s="1"/>
      <c r="AL38" s="1"/>
    </row>
    <row r="39" spans="1:39" s="9" customFormat="1">
      <c r="A39" s="10" t="s">
        <v>82</v>
      </c>
      <c r="B39" s="11"/>
      <c r="C39" s="11"/>
      <c r="D39" s="10"/>
      <c r="E39" s="11" t="s">
        <v>22</v>
      </c>
      <c r="F39" s="11" t="s">
        <v>8</v>
      </c>
      <c r="G39" s="11" t="s">
        <v>8</v>
      </c>
      <c r="H39" s="11" t="s">
        <v>22</v>
      </c>
      <c r="I39" s="11" t="s">
        <v>22</v>
      </c>
      <c r="J39" s="11" t="s">
        <v>22</v>
      </c>
      <c r="K39" s="11" t="s">
        <v>22</v>
      </c>
      <c r="L39" s="8" cm="1">
        <f t="array" ref="L39">SUMPRODUCT(IFERROR(TIMEVALUE(RIGHT(#REF!,5))-TIMEVALUE(LEFT(#REF!,5)),0))</f>
        <v>0</v>
      </c>
      <c r="M39" s="3" cm="1">
        <f t="array" ref="M39">SUMPRODUCT(IFERROR(TIMEVALUE(RIGHT(E39:K39,5))-TIMEVALUE(LEFT(E39:K39,5)),0))</f>
        <v>1.7708333333333335</v>
      </c>
      <c r="X39" s="2"/>
      <c r="AD39"/>
      <c r="AE39"/>
      <c r="AF39" s="1"/>
      <c r="AG39" s="1"/>
      <c r="AH39" s="1"/>
      <c r="AI39" s="1"/>
      <c r="AJ39" s="1"/>
      <c r="AK39" s="1"/>
      <c r="AL39" s="1"/>
    </row>
    <row r="40" spans="1:39" s="9" customFormat="1">
      <c r="A40" s="10" t="s">
        <v>83</v>
      </c>
      <c r="B40" s="11"/>
      <c r="C40" s="11"/>
      <c r="D40" s="10"/>
      <c r="E40" s="11" t="s">
        <v>22</v>
      </c>
      <c r="F40" s="11" t="s">
        <v>22</v>
      </c>
      <c r="G40" s="11" t="s">
        <v>22</v>
      </c>
      <c r="H40" s="11" t="s">
        <v>22</v>
      </c>
      <c r="I40" s="11" t="s">
        <v>22</v>
      </c>
      <c r="J40" s="11" t="s">
        <v>8</v>
      </c>
      <c r="K40" s="11" t="s">
        <v>8</v>
      </c>
      <c r="L40" s="8" cm="1">
        <f t="array" ref="L40">SUMPRODUCT(IFERROR(TIMEVALUE(RIGHT(#REF!,5))-TIMEVALUE(LEFT(#REF!,5)),0))</f>
        <v>0</v>
      </c>
      <c r="M40" s="3" cm="1">
        <f t="array" ref="M40">SUMPRODUCT(IFERROR(TIMEVALUE(RIGHT(E40:K40,5))-TIMEVALUE(LEFT(E40:K40,5)),0))</f>
        <v>1.7708333333333335</v>
      </c>
      <c r="X40" s="2"/>
      <c r="AD40"/>
      <c r="AE40"/>
      <c r="AF40" s="1"/>
      <c r="AG40" s="1"/>
      <c r="AH40" s="1"/>
      <c r="AI40" s="1"/>
      <c r="AJ40" s="1"/>
      <c r="AK40" s="1"/>
      <c r="AL40" s="1"/>
    </row>
    <row r="41" spans="1:39" s="9" customFormat="1">
      <c r="A41" s="10" t="s">
        <v>84</v>
      </c>
      <c r="B41" s="11"/>
      <c r="C41" s="11"/>
      <c r="D41" s="10"/>
      <c r="E41" s="11" t="s">
        <v>12</v>
      </c>
      <c r="F41" s="11" t="s">
        <v>22</v>
      </c>
      <c r="G41" s="11" t="s">
        <v>12</v>
      </c>
      <c r="H41" s="11" t="s">
        <v>12</v>
      </c>
      <c r="I41" s="11" t="s">
        <v>22</v>
      </c>
      <c r="J41" s="11" t="s">
        <v>8</v>
      </c>
      <c r="K41" s="11" t="s">
        <v>8</v>
      </c>
      <c r="L41" s="8" cm="1">
        <f t="array" ref="L41">SUMPRODUCT(IFERROR(TIMEVALUE(RIGHT(#REF!,5))-TIMEVALUE(LEFT(#REF!,5)),0))</f>
        <v>0</v>
      </c>
      <c r="M41" s="3" cm="1">
        <f t="array" ref="M41">SUMPRODUCT(IFERROR(TIMEVALUE(RIGHT(E41:K41,5))-TIMEVALUE(LEFT(E41:K41,5)),0))</f>
        <v>1.7708333333333333</v>
      </c>
      <c r="X41" s="2"/>
      <c r="AF41" s="2"/>
      <c r="AG41" s="2"/>
      <c r="AH41" s="2"/>
      <c r="AI41" s="2"/>
      <c r="AJ41" s="2"/>
      <c r="AK41" s="2"/>
      <c r="AL41" s="2"/>
    </row>
    <row r="42" spans="1:39" s="9" customFormat="1">
      <c r="A42" s="10" t="s">
        <v>85</v>
      </c>
      <c r="B42" s="11"/>
      <c r="C42" s="11"/>
      <c r="D42" s="10"/>
      <c r="E42" s="11" t="s">
        <v>22</v>
      </c>
      <c r="F42" s="11" t="s">
        <v>22</v>
      </c>
      <c r="G42" s="11" t="s">
        <v>22</v>
      </c>
      <c r="H42" s="11" t="s">
        <v>22</v>
      </c>
      <c r="I42" s="11" t="s">
        <v>22</v>
      </c>
      <c r="J42" s="11" t="s">
        <v>8</v>
      </c>
      <c r="K42" s="11" t="s">
        <v>8</v>
      </c>
      <c r="L42" s="8" cm="1">
        <f t="array" ref="L42">SUMPRODUCT(IFERROR(TIMEVALUE(RIGHT(#REF!,5))-TIMEVALUE(LEFT(#REF!,5)),0))</f>
        <v>0</v>
      </c>
      <c r="M42" s="3" cm="1">
        <f t="array" ref="M42">SUMPRODUCT(IFERROR(TIMEVALUE(RIGHT(E42:K42,5))-TIMEVALUE(LEFT(E42:K42,5)),0))</f>
        <v>1.7708333333333335</v>
      </c>
      <c r="X42" s="2"/>
      <c r="AD42"/>
      <c r="AE42"/>
      <c r="AF42" s="1"/>
      <c r="AG42" s="1"/>
      <c r="AH42" s="1"/>
      <c r="AI42" s="1"/>
      <c r="AJ42" s="1"/>
      <c r="AK42" s="1"/>
      <c r="AL42" s="1"/>
    </row>
    <row r="43" spans="1:39" s="9" customFormat="1">
      <c r="A43" s="10" t="s">
        <v>86</v>
      </c>
      <c r="B43" s="11"/>
      <c r="C43" s="11"/>
      <c r="D43" s="10"/>
      <c r="E43" s="11" t="s">
        <v>8</v>
      </c>
      <c r="F43" s="11" t="s">
        <v>8</v>
      </c>
      <c r="G43" s="11" t="s">
        <v>22</v>
      </c>
      <c r="H43" s="11" t="s">
        <v>22</v>
      </c>
      <c r="I43" s="11" t="s">
        <v>22</v>
      </c>
      <c r="J43" s="11" t="s">
        <v>22</v>
      </c>
      <c r="K43" s="11" t="s">
        <v>22</v>
      </c>
      <c r="L43" s="8" cm="1">
        <f t="array" ref="L43">SUMPRODUCT(IFERROR(TIMEVALUE(RIGHT(#REF!,5))-TIMEVALUE(LEFT(#REF!,5)),0))</f>
        <v>0</v>
      </c>
      <c r="M43" s="3" cm="1">
        <f t="array" ref="M43">SUMPRODUCT(IFERROR(TIMEVALUE(RIGHT(E43:K43,5))-TIMEVALUE(LEFT(E43:K43,5)),0))</f>
        <v>1.7708333333333335</v>
      </c>
      <c r="X43" s="2"/>
      <c r="AD43"/>
      <c r="AE43"/>
      <c r="AF43" s="1"/>
      <c r="AG43" s="1"/>
      <c r="AH43" s="1"/>
      <c r="AI43" s="1"/>
      <c r="AJ43" s="1"/>
      <c r="AK43" s="1"/>
      <c r="AL43" s="1"/>
    </row>
    <row r="44" spans="1:39" s="9" customFormat="1">
      <c r="A44" s="10" t="s">
        <v>87</v>
      </c>
      <c r="B44" s="11"/>
      <c r="C44" s="11"/>
      <c r="D44" s="10"/>
      <c r="E44" s="11" t="s">
        <v>22</v>
      </c>
      <c r="F44" s="11" t="s">
        <v>22</v>
      </c>
      <c r="G44" s="11" t="s">
        <v>22</v>
      </c>
      <c r="H44" s="11" t="s">
        <v>22</v>
      </c>
      <c r="I44" s="11" t="s">
        <v>22</v>
      </c>
      <c r="J44" s="11" t="s">
        <v>8</v>
      </c>
      <c r="K44" s="11" t="s">
        <v>8</v>
      </c>
      <c r="L44" s="8" cm="1">
        <f t="array" ref="L44">SUMPRODUCT(IFERROR(TIMEVALUE(RIGHT(#REF!,5))-TIMEVALUE(LEFT(#REF!,5)),0))</f>
        <v>0</v>
      </c>
      <c r="M44" s="3" cm="1">
        <f t="array" ref="M44">SUMPRODUCT(IFERROR(TIMEVALUE(RIGHT(E44:K44,5))-TIMEVALUE(LEFT(E44:K44,5)),0))</f>
        <v>1.7708333333333335</v>
      </c>
      <c r="X44" s="2"/>
      <c r="AD44"/>
      <c r="AE44"/>
      <c r="AF44" s="1"/>
      <c r="AG44" s="1"/>
      <c r="AH44" s="1"/>
      <c r="AI44" s="1"/>
      <c r="AJ44" s="1"/>
      <c r="AK44" s="1"/>
      <c r="AL44" s="1"/>
    </row>
    <row r="45" spans="1:39" s="9" customFormat="1">
      <c r="A45" s="10" t="s">
        <v>88</v>
      </c>
      <c r="B45" s="11"/>
      <c r="C45" s="11"/>
      <c r="D45" s="10"/>
      <c r="E45" s="11" t="s">
        <v>8</v>
      </c>
      <c r="F45" s="11" t="s">
        <v>22</v>
      </c>
      <c r="G45" s="11" t="s">
        <v>22</v>
      </c>
      <c r="H45" s="11" t="s">
        <v>22</v>
      </c>
      <c r="I45" s="11" t="s">
        <v>22</v>
      </c>
      <c r="J45" s="11" t="s">
        <v>22</v>
      </c>
      <c r="K45" s="11" t="s">
        <v>8</v>
      </c>
      <c r="L45" s="8" cm="1">
        <f t="array" ref="L45">SUMPRODUCT(IFERROR(TIMEVALUE(RIGHT(#REF!,5))-TIMEVALUE(LEFT(#REF!,5)),0))</f>
        <v>0</v>
      </c>
      <c r="M45" s="3" cm="1">
        <f t="array" ref="M45">SUMPRODUCT(IFERROR(TIMEVALUE(RIGHT(E45:K45,5))-TIMEVALUE(LEFT(E45:K45,5)),0))</f>
        <v>1.7708333333333335</v>
      </c>
      <c r="X45" s="2"/>
      <c r="AD45"/>
      <c r="AE45"/>
      <c r="AF45" s="1"/>
      <c r="AG45" s="1"/>
      <c r="AH45" s="1"/>
      <c r="AI45" s="1"/>
      <c r="AJ45" s="1"/>
      <c r="AK45" s="1"/>
      <c r="AL45" s="1"/>
    </row>
    <row r="46" spans="1:39">
      <c r="A46" s="10" t="s">
        <v>89</v>
      </c>
      <c r="B46" s="11"/>
      <c r="C46" s="11"/>
      <c r="D46" s="10"/>
      <c r="E46" s="11" t="s">
        <v>7</v>
      </c>
      <c r="F46" s="11" t="s">
        <v>8</v>
      </c>
      <c r="G46" s="11" t="s">
        <v>8</v>
      </c>
      <c r="H46" s="11" t="s">
        <v>7</v>
      </c>
      <c r="I46" s="11" t="s">
        <v>7</v>
      </c>
      <c r="J46" s="11" t="s">
        <v>7</v>
      </c>
      <c r="K46" s="11" t="s">
        <v>7</v>
      </c>
      <c r="L46" s="8" cm="1">
        <f t="array" ref="L46">SUMPRODUCT(IFERROR(TIMEVALUE(RIGHT(#REF!,5))-TIMEVALUE(LEFT(#REF!,5)),0))</f>
        <v>0</v>
      </c>
      <c r="M46" s="3" cm="1">
        <f t="array" ref="M46">SUMPRODUCT(IFERROR(TIMEVALUE(RIGHT(E46:K46,5))-TIMEVALUE(LEFT(E46:K46,5)),0))</f>
        <v>1.7708333333333335</v>
      </c>
      <c r="AM46" s="9"/>
    </row>
    <row r="47" spans="1:39">
      <c r="A47" s="10" t="s">
        <v>90</v>
      </c>
      <c r="B47" s="11"/>
      <c r="C47" s="11"/>
      <c r="D47" s="10"/>
      <c r="E47" s="11" t="s">
        <v>7</v>
      </c>
      <c r="F47" s="11" t="s">
        <v>7</v>
      </c>
      <c r="G47" s="11" t="s">
        <v>7</v>
      </c>
      <c r="H47" s="11" t="s">
        <v>7</v>
      </c>
      <c r="I47" s="11" t="s">
        <v>7</v>
      </c>
      <c r="J47" s="11" t="s">
        <v>8</v>
      </c>
      <c r="K47" s="11" t="s">
        <v>8</v>
      </c>
      <c r="L47" s="8" cm="1">
        <f t="array" ref="L47">SUMPRODUCT(IFERROR(TIMEVALUE(RIGHT(#REF!,5))-TIMEVALUE(LEFT(#REF!,5)),0))</f>
        <v>0</v>
      </c>
      <c r="M47" s="3" cm="1">
        <f t="array" ref="M47">SUMPRODUCT(IFERROR(TIMEVALUE(RIGHT(E47:K47,5))-TIMEVALUE(LEFT(E47:K47,5)),0))</f>
        <v>1.7708333333333335</v>
      </c>
      <c r="AM47" s="9"/>
    </row>
    <row r="48" spans="1:39">
      <c r="A48" s="10" t="s">
        <v>91</v>
      </c>
      <c r="B48" s="11"/>
      <c r="C48" s="11"/>
      <c r="D48" s="10"/>
      <c r="E48" s="11" t="s">
        <v>7</v>
      </c>
      <c r="F48" s="11" t="s">
        <v>7</v>
      </c>
      <c r="G48" s="11" t="s">
        <v>7</v>
      </c>
      <c r="H48" s="11" t="s">
        <v>7</v>
      </c>
      <c r="I48" s="11" t="s">
        <v>7</v>
      </c>
      <c r="J48" s="11" t="s">
        <v>8</v>
      </c>
      <c r="K48" s="11" t="s">
        <v>8</v>
      </c>
      <c r="L48" s="8" cm="1">
        <f t="array" ref="L48">SUMPRODUCT(IFERROR(TIMEVALUE(RIGHT(#REF!,5))-TIMEVALUE(LEFT(#REF!,5)),0))</f>
        <v>0</v>
      </c>
      <c r="M48" s="3" cm="1">
        <f t="array" ref="M48">SUMPRODUCT(IFERROR(TIMEVALUE(RIGHT(E48:K48,5))-TIMEVALUE(LEFT(E48:K48,5)),0))</f>
        <v>1.7708333333333335</v>
      </c>
      <c r="AM48" s="9"/>
    </row>
    <row r="49" spans="1:39">
      <c r="A49" s="10" t="s">
        <v>92</v>
      </c>
      <c r="B49" s="11"/>
      <c r="C49" s="11"/>
      <c r="D49" s="10"/>
      <c r="E49" s="11" t="s">
        <v>7</v>
      </c>
      <c r="F49" s="11" t="s">
        <v>7</v>
      </c>
      <c r="G49" s="11" t="s">
        <v>7</v>
      </c>
      <c r="H49" s="11" t="s">
        <v>7</v>
      </c>
      <c r="I49" s="11" t="s">
        <v>8</v>
      </c>
      <c r="J49" s="11" t="s">
        <v>7</v>
      </c>
      <c r="K49" s="11" t="s">
        <v>8</v>
      </c>
      <c r="L49" s="8" cm="1">
        <f t="array" ref="L49">SUMPRODUCT(IFERROR(TIMEVALUE(RIGHT(#REF!,5))-TIMEVALUE(LEFT(#REF!,5)),0))</f>
        <v>0</v>
      </c>
      <c r="M49" s="3" cm="1">
        <f t="array" ref="M49">SUMPRODUCT(IFERROR(TIMEVALUE(RIGHT(E49:K49,5))-TIMEVALUE(LEFT(E49:K49,5)),0))</f>
        <v>1.7708333333333335</v>
      </c>
      <c r="AM49" s="9"/>
    </row>
    <row r="50" spans="1:39">
      <c r="A50" s="10" t="s">
        <v>93</v>
      </c>
      <c r="B50" s="11"/>
      <c r="C50" s="11"/>
      <c r="D50" s="10"/>
      <c r="E50" s="11" t="s">
        <v>7</v>
      </c>
      <c r="F50" s="11" t="s">
        <v>8</v>
      </c>
      <c r="G50" s="11" t="s">
        <v>8</v>
      </c>
      <c r="H50" s="11" t="s">
        <v>7</v>
      </c>
      <c r="I50" s="11" t="s">
        <v>7</v>
      </c>
      <c r="J50" s="11" t="s">
        <v>7</v>
      </c>
      <c r="K50" s="11" t="s">
        <v>7</v>
      </c>
      <c r="L50" s="8" cm="1">
        <f t="array" ref="L50">SUMPRODUCT(IFERROR(TIMEVALUE(RIGHT(#REF!,5))-TIMEVALUE(LEFT(#REF!,5)),0))</f>
        <v>0</v>
      </c>
      <c r="M50" s="3" cm="1">
        <f t="array" ref="M50">SUMPRODUCT(IFERROR(TIMEVALUE(RIGHT(E50:K50,5))-TIMEVALUE(LEFT(E50:K50,5)),0))</f>
        <v>1.7708333333333335</v>
      </c>
      <c r="AM50" s="9"/>
    </row>
    <row r="51" spans="1:39">
      <c r="A51" s="10" t="s">
        <v>94</v>
      </c>
      <c r="B51" s="11"/>
      <c r="C51" s="11"/>
      <c r="D51" s="10"/>
      <c r="E51" s="11" t="s">
        <v>7</v>
      </c>
      <c r="F51" s="11" t="s">
        <v>7</v>
      </c>
      <c r="G51" s="11" t="s">
        <v>7</v>
      </c>
      <c r="H51" s="11" t="s">
        <v>7</v>
      </c>
      <c r="I51" s="11" t="s">
        <v>8</v>
      </c>
      <c r="J51" s="11" t="s">
        <v>8</v>
      </c>
      <c r="K51" s="11" t="s">
        <v>7</v>
      </c>
      <c r="L51" s="8" cm="1">
        <f t="array" ref="L51">SUMPRODUCT(IFERROR(TIMEVALUE(RIGHT(#REF!,5))-TIMEVALUE(LEFT(#REF!,5)),0))</f>
        <v>0</v>
      </c>
      <c r="M51" s="3" cm="1">
        <f t="array" ref="M51">SUMPRODUCT(IFERROR(TIMEVALUE(RIGHT(E51:K51,5))-TIMEVALUE(LEFT(E51:K51,5)),0))</f>
        <v>1.7708333333333335</v>
      </c>
      <c r="AM51" s="9"/>
    </row>
    <row r="52" spans="1:39">
      <c r="A52" s="10" t="s">
        <v>95</v>
      </c>
      <c r="B52" s="11"/>
      <c r="C52" s="11"/>
      <c r="D52" s="10"/>
      <c r="E52" s="11" t="s">
        <v>7</v>
      </c>
      <c r="F52" s="11" t="s">
        <v>7</v>
      </c>
      <c r="G52" s="11" t="s">
        <v>7</v>
      </c>
      <c r="H52" s="11" t="s">
        <v>7</v>
      </c>
      <c r="I52" s="11" t="s">
        <v>8</v>
      </c>
      <c r="J52" s="11" t="s">
        <v>8</v>
      </c>
      <c r="K52" s="11" t="s">
        <v>7</v>
      </c>
      <c r="L52" s="8" cm="1">
        <f t="array" ref="L52">SUMPRODUCT(IFERROR(TIMEVALUE(RIGHT(#REF!,5))-TIMEVALUE(LEFT(#REF!,5)),0))</f>
        <v>0</v>
      </c>
      <c r="M52" s="3" cm="1">
        <f t="array" ref="M52">SUMPRODUCT(IFERROR(TIMEVALUE(RIGHT(E52:K52,5))-TIMEVALUE(LEFT(E52:K52,5)),0))</f>
        <v>1.7708333333333335</v>
      </c>
      <c r="AM52" s="9"/>
    </row>
    <row r="53" spans="1:39">
      <c r="A53" s="10" t="s">
        <v>96</v>
      </c>
      <c r="B53" s="11"/>
      <c r="C53" s="11"/>
      <c r="D53" s="10"/>
      <c r="E53" s="11" t="s">
        <v>7</v>
      </c>
      <c r="F53" s="11" t="s">
        <v>7</v>
      </c>
      <c r="G53" s="11" t="s">
        <v>8</v>
      </c>
      <c r="H53" s="11" t="s">
        <v>8</v>
      </c>
      <c r="I53" s="11" t="s">
        <v>7</v>
      </c>
      <c r="J53" s="11" t="s">
        <v>7</v>
      </c>
      <c r="K53" s="11" t="s">
        <v>7</v>
      </c>
      <c r="L53" s="8" cm="1">
        <f t="array" ref="L53">SUMPRODUCT(IFERROR(TIMEVALUE(RIGHT(#REF!,5))-TIMEVALUE(LEFT(#REF!,5)),0))</f>
        <v>0</v>
      </c>
      <c r="M53" s="3" cm="1">
        <f t="array" ref="M53">SUMPRODUCT(IFERROR(TIMEVALUE(RIGHT(E53:K53,5))-TIMEVALUE(LEFT(E53:K53,5)),0))</f>
        <v>1.7708333333333335</v>
      </c>
      <c r="AM53" s="9"/>
    </row>
    <row r="54" spans="1:39">
      <c r="A54" s="10" t="s">
        <v>97</v>
      </c>
      <c r="B54" s="11"/>
      <c r="C54" s="11"/>
      <c r="D54" s="10"/>
      <c r="E54" s="11" t="s">
        <v>7</v>
      </c>
      <c r="F54" s="11" t="s">
        <v>7</v>
      </c>
      <c r="G54" s="11" t="s">
        <v>7</v>
      </c>
      <c r="H54" s="11" t="s">
        <v>8</v>
      </c>
      <c r="I54" s="11" t="s">
        <v>8</v>
      </c>
      <c r="J54" s="11" t="s">
        <v>7</v>
      </c>
      <c r="K54" s="11" t="s">
        <v>7</v>
      </c>
      <c r="L54" s="8" cm="1">
        <f t="array" ref="L54">SUMPRODUCT(IFERROR(TIMEVALUE(RIGHT(#REF!,5))-TIMEVALUE(LEFT(#REF!,5)),0))</f>
        <v>0</v>
      </c>
      <c r="M54" s="3" cm="1">
        <f t="array" ref="M54">SUMPRODUCT(IFERROR(TIMEVALUE(RIGHT(E54:K54,5))-TIMEVALUE(LEFT(E54:K54,5)),0))</f>
        <v>1.7708333333333335</v>
      </c>
      <c r="AM54" s="9"/>
    </row>
    <row r="55" spans="1:39">
      <c r="A55" s="10" t="s">
        <v>98</v>
      </c>
      <c r="B55" s="11"/>
      <c r="C55" s="11"/>
      <c r="D55" s="10"/>
      <c r="E55" s="11" t="s">
        <v>7</v>
      </c>
      <c r="F55" s="11" t="s">
        <v>7</v>
      </c>
      <c r="G55" s="11" t="s">
        <v>7</v>
      </c>
      <c r="H55" s="11" t="s">
        <v>7</v>
      </c>
      <c r="I55" s="11" t="s">
        <v>7</v>
      </c>
      <c r="J55" s="11" t="s">
        <v>8</v>
      </c>
      <c r="K55" s="11" t="s">
        <v>8</v>
      </c>
      <c r="L55" s="8" cm="1">
        <f t="array" ref="L55">SUMPRODUCT(IFERROR(TIMEVALUE(RIGHT(#REF!,5))-TIMEVALUE(LEFT(#REF!,5)),0))</f>
        <v>0</v>
      </c>
      <c r="M55" s="3" cm="1">
        <f t="array" ref="M55">SUMPRODUCT(IFERROR(TIMEVALUE(RIGHT(E55:K55,5))-TIMEVALUE(LEFT(E55:K55,5)),0))</f>
        <v>1.7708333333333335</v>
      </c>
      <c r="AM55" s="9"/>
    </row>
    <row r="56" spans="1:39">
      <c r="A56" s="10" t="s">
        <v>99</v>
      </c>
      <c r="B56" s="11"/>
      <c r="C56" s="11"/>
      <c r="D56" s="10"/>
      <c r="E56" s="11" t="s">
        <v>7</v>
      </c>
      <c r="F56" s="11" t="s">
        <v>8</v>
      </c>
      <c r="G56" s="11" t="s">
        <v>8</v>
      </c>
      <c r="H56" s="11" t="s">
        <v>7</v>
      </c>
      <c r="I56" s="11" t="s">
        <v>7</v>
      </c>
      <c r="J56" s="11" t="s">
        <v>7</v>
      </c>
      <c r="K56" s="11" t="s">
        <v>7</v>
      </c>
      <c r="L56" s="8" cm="1">
        <f t="array" ref="L56">SUMPRODUCT(IFERROR(TIMEVALUE(RIGHT(#REF!,5))-TIMEVALUE(LEFT(#REF!,5)),0))</f>
        <v>0</v>
      </c>
      <c r="M56" s="3" cm="1">
        <f t="array" ref="M56">SUMPRODUCT(IFERROR(TIMEVALUE(RIGHT(E56:K56,5))-TIMEVALUE(LEFT(E56:K56,5)),0))</f>
        <v>1.7708333333333335</v>
      </c>
      <c r="AM56" s="9"/>
    </row>
    <row r="57" spans="1:39">
      <c r="A57" s="10" t="s">
        <v>100</v>
      </c>
      <c r="B57" s="11"/>
      <c r="C57" s="11"/>
      <c r="D57" s="10"/>
      <c r="E57" s="11" t="s">
        <v>7</v>
      </c>
      <c r="F57" s="11" t="s">
        <v>7</v>
      </c>
      <c r="G57" s="11" t="s">
        <v>7</v>
      </c>
      <c r="H57" s="11" t="s">
        <v>7</v>
      </c>
      <c r="I57" s="11" t="s">
        <v>8</v>
      </c>
      <c r="J57" s="11" t="s">
        <v>8</v>
      </c>
      <c r="K57" s="11" t="s">
        <v>7</v>
      </c>
      <c r="L57" s="8" cm="1">
        <f t="array" ref="L57">SUMPRODUCT(IFERROR(TIMEVALUE(RIGHT(#REF!,5))-TIMEVALUE(LEFT(#REF!,5)),0))</f>
        <v>0</v>
      </c>
      <c r="M57" s="3" cm="1">
        <f t="array" ref="M57">SUMPRODUCT(IFERROR(TIMEVALUE(RIGHT(E57:K57,5))-TIMEVALUE(LEFT(E57:K57,5)),0))</f>
        <v>1.7708333333333335</v>
      </c>
      <c r="AM57" s="9"/>
    </row>
    <row r="58" spans="1:39">
      <c r="A58" s="10" t="s">
        <v>101</v>
      </c>
      <c r="B58" s="11"/>
      <c r="C58" s="11"/>
      <c r="D58" s="10"/>
      <c r="E58" s="11" t="s">
        <v>27</v>
      </c>
      <c r="F58" s="11" t="s">
        <v>27</v>
      </c>
      <c r="G58" s="11" t="s">
        <v>27</v>
      </c>
      <c r="H58" s="11" t="s">
        <v>27</v>
      </c>
      <c r="I58" s="11" t="s">
        <v>8</v>
      </c>
      <c r="J58" s="11" t="s">
        <v>8</v>
      </c>
      <c r="K58" s="11" t="s">
        <v>27</v>
      </c>
      <c r="L58" s="8" cm="1">
        <f t="array" ref="L58">SUMPRODUCT(IFERROR(TIMEVALUE(RIGHT(#REF!,5))-TIMEVALUE(LEFT(#REF!,5)),0))</f>
        <v>0</v>
      </c>
      <c r="M58" s="3" cm="1">
        <f t="array" ref="M58">SUMPRODUCT(IFERROR(TIMEVALUE(RIGHT(E58:K58,5))-TIMEVALUE(LEFT(E58:K58,5)),0))</f>
        <v>1.7708333333333335</v>
      </c>
      <c r="AM58" s="9"/>
    </row>
    <row r="59" spans="1:39">
      <c r="A59" s="10" t="s">
        <v>102</v>
      </c>
      <c r="B59" s="11"/>
      <c r="C59" s="11"/>
      <c r="D59" s="10"/>
      <c r="E59" s="11" t="s">
        <v>22</v>
      </c>
      <c r="F59" s="11" t="s">
        <v>22</v>
      </c>
      <c r="G59" s="11" t="s">
        <v>22</v>
      </c>
      <c r="H59" s="11" t="s">
        <v>22</v>
      </c>
      <c r="I59" s="11" t="s">
        <v>22</v>
      </c>
      <c r="J59" s="11" t="s">
        <v>8</v>
      </c>
      <c r="K59" s="11" t="s">
        <v>8</v>
      </c>
      <c r="L59" s="8" cm="1">
        <f t="array" ref="L59">SUMPRODUCT(IFERROR(TIMEVALUE(RIGHT(#REF!,5))-TIMEVALUE(LEFT(#REF!,5)),0))</f>
        <v>0</v>
      </c>
      <c r="M59" s="3" cm="1">
        <f t="array" ref="M59">SUMPRODUCT(IFERROR(TIMEVALUE(RIGHT(E59:K59,5))-TIMEVALUE(LEFT(E59:K59,5)),0))</f>
        <v>1.7708333333333335</v>
      </c>
      <c r="AM59" s="9"/>
    </row>
    <row r="60" spans="1:39">
      <c r="A60" s="10" t="s">
        <v>103</v>
      </c>
      <c r="B60" s="11"/>
      <c r="C60" s="11"/>
      <c r="D60" s="10"/>
      <c r="E60" s="11" t="s">
        <v>12</v>
      </c>
      <c r="F60" s="11" t="s">
        <v>12</v>
      </c>
      <c r="G60" s="11" t="s">
        <v>12</v>
      </c>
      <c r="H60" s="11" t="s">
        <v>12</v>
      </c>
      <c r="I60" s="11" t="s">
        <v>8</v>
      </c>
      <c r="J60" s="11" t="s">
        <v>8</v>
      </c>
      <c r="K60" s="11" t="s">
        <v>12</v>
      </c>
      <c r="L60" s="8" cm="1">
        <f t="array" ref="L60">SUMPRODUCT(IFERROR(TIMEVALUE(RIGHT(#REF!,5))-TIMEVALUE(LEFT(#REF!,5)),0))</f>
        <v>0</v>
      </c>
      <c r="M60" s="3" cm="1">
        <f t="array" ref="M60">SUMPRODUCT(IFERROR(TIMEVALUE(RIGHT(E60:K60,5))-TIMEVALUE(LEFT(E60:K60,5)),0))</f>
        <v>1.770833333333333</v>
      </c>
      <c r="AM60" s="9"/>
    </row>
    <row r="61" spans="1:39">
      <c r="A61" s="10" t="s">
        <v>104</v>
      </c>
      <c r="B61" s="11"/>
      <c r="C61" s="11"/>
      <c r="D61" s="10"/>
      <c r="E61" s="11" t="s">
        <v>7</v>
      </c>
      <c r="F61" s="11" t="s">
        <v>7</v>
      </c>
      <c r="G61" s="11" t="s">
        <v>7</v>
      </c>
      <c r="H61" s="11" t="s">
        <v>7</v>
      </c>
      <c r="I61" s="11" t="s">
        <v>7</v>
      </c>
      <c r="J61" s="11" t="s">
        <v>8</v>
      </c>
      <c r="K61" s="11" t="s">
        <v>8</v>
      </c>
      <c r="L61" s="8" cm="1">
        <f t="array" ref="L61">SUMPRODUCT(IFERROR(TIMEVALUE(RIGHT(#REF!,5))-TIMEVALUE(LEFT(#REF!,5)),0))</f>
        <v>0</v>
      </c>
      <c r="M61" s="3" cm="1">
        <f t="array" ref="M61">SUMPRODUCT(IFERROR(TIMEVALUE(RIGHT(E61:K61,5))-TIMEVALUE(LEFT(E61:K61,5)),0))</f>
        <v>1.7708333333333335</v>
      </c>
      <c r="AM61" s="9"/>
    </row>
    <row r="62" spans="1:39">
      <c r="A62" s="10" t="s">
        <v>105</v>
      </c>
      <c r="B62" s="11"/>
      <c r="C62" s="11"/>
      <c r="D62" s="10"/>
      <c r="E62" s="11" t="s">
        <v>7</v>
      </c>
      <c r="F62" s="11" t="s">
        <v>7</v>
      </c>
      <c r="G62" s="11" t="s">
        <v>7</v>
      </c>
      <c r="H62" s="11" t="s">
        <v>7</v>
      </c>
      <c r="I62" s="11" t="s">
        <v>7</v>
      </c>
      <c r="J62" s="11" t="s">
        <v>8</v>
      </c>
      <c r="K62" s="11" t="s">
        <v>8</v>
      </c>
      <c r="L62" s="8" cm="1">
        <f t="array" ref="L62">SUMPRODUCT(IFERROR(TIMEVALUE(RIGHT(#REF!,5))-TIMEVALUE(LEFT(#REF!,5)),0))</f>
        <v>0</v>
      </c>
      <c r="M62" s="3" cm="1">
        <f t="array" ref="M62">SUMPRODUCT(IFERROR(TIMEVALUE(RIGHT(E62:K62,5))-TIMEVALUE(LEFT(E62:K62,5)),0))</f>
        <v>1.7708333333333335</v>
      </c>
      <c r="AM62" s="9"/>
    </row>
    <row r="63" spans="1:39">
      <c r="A63" s="10" t="s">
        <v>106</v>
      </c>
      <c r="B63" s="11"/>
      <c r="C63" s="11"/>
      <c r="D63" s="10"/>
      <c r="E63" s="11" t="s">
        <v>22</v>
      </c>
      <c r="F63" s="11" t="s">
        <v>22</v>
      </c>
      <c r="G63" s="11" t="s">
        <v>22</v>
      </c>
      <c r="H63" s="11" t="s">
        <v>22</v>
      </c>
      <c r="I63" s="11" t="s">
        <v>22</v>
      </c>
      <c r="J63" s="11" t="s">
        <v>8</v>
      </c>
      <c r="K63" s="11" t="s">
        <v>8</v>
      </c>
      <c r="L63" s="8" cm="1">
        <f t="array" ref="L63">SUMPRODUCT(IFERROR(TIMEVALUE(RIGHT(#REF!,5))-TIMEVALUE(LEFT(#REF!,5)),0))</f>
        <v>0</v>
      </c>
      <c r="M63" s="3" cm="1">
        <f t="array" ref="M63">SUMPRODUCT(IFERROR(TIMEVALUE(RIGHT(E63:K63,5))-TIMEVALUE(LEFT(E63:K63,5)),0))</f>
        <v>1.7708333333333335</v>
      </c>
      <c r="AM63" s="9"/>
    </row>
    <row r="64" spans="1:39">
      <c r="A64" s="10" t="s">
        <v>107</v>
      </c>
      <c r="B64" s="11"/>
      <c r="C64" s="11"/>
      <c r="D64" s="10"/>
      <c r="E64" s="11" t="s">
        <v>12</v>
      </c>
      <c r="F64" s="11" t="s">
        <v>12</v>
      </c>
      <c r="G64" s="11" t="s">
        <v>12</v>
      </c>
      <c r="H64" s="11" t="s">
        <v>12</v>
      </c>
      <c r="I64" s="11" t="s">
        <v>8</v>
      </c>
      <c r="J64" s="11" t="s">
        <v>8</v>
      </c>
      <c r="K64" s="11" t="s">
        <v>12</v>
      </c>
      <c r="L64" s="8" cm="1">
        <f t="array" ref="L64">SUMPRODUCT(IFERROR(TIMEVALUE(RIGHT(#REF!,5))-TIMEVALUE(LEFT(#REF!,5)),0))</f>
        <v>0</v>
      </c>
      <c r="M64" s="3" cm="1">
        <f t="array" ref="M64">SUMPRODUCT(IFERROR(TIMEVALUE(RIGHT(E64:K64,5))-TIMEVALUE(LEFT(E64:K64,5)),0))</f>
        <v>1.770833333333333</v>
      </c>
      <c r="AM64" s="9"/>
    </row>
    <row r="65" spans="1:39">
      <c r="A65" s="10" t="s">
        <v>108</v>
      </c>
      <c r="B65" s="11"/>
      <c r="C65" s="11"/>
      <c r="D65" s="10"/>
      <c r="E65" s="11" t="s">
        <v>12</v>
      </c>
      <c r="F65" s="11" t="s">
        <v>12</v>
      </c>
      <c r="G65" s="11" t="s">
        <v>12</v>
      </c>
      <c r="H65" s="11" t="s">
        <v>12</v>
      </c>
      <c r="I65" s="11" t="s">
        <v>12</v>
      </c>
      <c r="J65" s="11" t="s">
        <v>8</v>
      </c>
      <c r="K65" s="11" t="s">
        <v>8</v>
      </c>
      <c r="L65" s="8" cm="1">
        <f t="array" ref="L65">SUMPRODUCT(IFERROR(TIMEVALUE(RIGHT(#REF!,5))-TIMEVALUE(LEFT(#REF!,5)),0))</f>
        <v>0</v>
      </c>
      <c r="M65" s="3" cm="1">
        <f t="array" ref="M65">SUMPRODUCT(IFERROR(TIMEVALUE(RIGHT(E65:K65,5))-TIMEVALUE(LEFT(E65:K65,5)),0))</f>
        <v>1.770833333333333</v>
      </c>
      <c r="AM65" s="9"/>
    </row>
    <row r="66" spans="1:39">
      <c r="A66" s="10" t="s">
        <v>109</v>
      </c>
      <c r="B66" s="11"/>
      <c r="C66" s="11"/>
      <c r="D66" s="10"/>
      <c r="E66" s="11" t="s">
        <v>12</v>
      </c>
      <c r="F66" s="11" t="s">
        <v>12</v>
      </c>
      <c r="G66" s="11" t="s">
        <v>12</v>
      </c>
      <c r="H66" s="11" t="s">
        <v>12</v>
      </c>
      <c r="I66" s="11" t="s">
        <v>12</v>
      </c>
      <c r="J66" s="11" t="s">
        <v>8</v>
      </c>
      <c r="K66" s="11" t="s">
        <v>8</v>
      </c>
      <c r="L66" s="8" cm="1">
        <f t="array" ref="L66">SUMPRODUCT(IFERROR(TIMEVALUE(RIGHT(#REF!,5))-TIMEVALUE(LEFT(#REF!,5)),0))</f>
        <v>0</v>
      </c>
      <c r="M66" s="3" cm="1">
        <f t="array" ref="M66">SUMPRODUCT(IFERROR(TIMEVALUE(RIGHT(E66:K66,5))-TIMEVALUE(LEFT(E66:K66,5)),0))</f>
        <v>1.770833333333333</v>
      </c>
      <c r="AM66" s="9"/>
    </row>
    <row r="67" spans="1:39">
      <c r="A67" s="10" t="s">
        <v>110</v>
      </c>
      <c r="B67" s="11"/>
      <c r="C67" s="11"/>
      <c r="D67" s="10"/>
      <c r="E67" s="11" t="s">
        <v>8</v>
      </c>
      <c r="F67" s="11" t="s">
        <v>12</v>
      </c>
      <c r="G67" s="11" t="s">
        <v>12</v>
      </c>
      <c r="H67" s="11" t="s">
        <v>12</v>
      </c>
      <c r="I67" s="11" t="s">
        <v>12</v>
      </c>
      <c r="J67" s="11" t="s">
        <v>12</v>
      </c>
      <c r="K67" s="11" t="s">
        <v>8</v>
      </c>
      <c r="L67" s="8" cm="1">
        <f t="array" ref="L67">SUMPRODUCT(IFERROR(TIMEVALUE(RIGHT(#REF!,5))-TIMEVALUE(LEFT(#REF!,5)),0))</f>
        <v>0</v>
      </c>
      <c r="M67" s="3" cm="1">
        <f t="array" ref="M67">SUMPRODUCT(IFERROR(TIMEVALUE(RIGHT(E67:K67,5))-TIMEVALUE(LEFT(E67:K67,5)),0))</f>
        <v>1.770833333333333</v>
      </c>
      <c r="AM67" s="9"/>
    </row>
    <row r="68" spans="1:39">
      <c r="A68" s="10" t="s">
        <v>111</v>
      </c>
      <c r="B68" s="11"/>
      <c r="C68" s="11"/>
      <c r="D68" s="10"/>
      <c r="E68" s="11" t="s">
        <v>8</v>
      </c>
      <c r="F68" s="11" t="s">
        <v>12</v>
      </c>
      <c r="G68" s="11" t="s">
        <v>12</v>
      </c>
      <c r="H68" s="11" t="s">
        <v>12</v>
      </c>
      <c r="I68" s="11" t="s">
        <v>12</v>
      </c>
      <c r="J68" s="11" t="s">
        <v>12</v>
      </c>
      <c r="K68" s="11" t="s">
        <v>8</v>
      </c>
      <c r="L68" s="8" cm="1">
        <f t="array" ref="L68">SUMPRODUCT(IFERROR(TIMEVALUE(RIGHT(#REF!,5))-TIMEVALUE(LEFT(#REF!,5)),0))</f>
        <v>0</v>
      </c>
      <c r="M68" s="3" cm="1">
        <f t="array" ref="M68">SUMPRODUCT(IFERROR(TIMEVALUE(RIGHT(E68:K68,5))-TIMEVALUE(LEFT(E68:K68,5)),0))</f>
        <v>1.770833333333333</v>
      </c>
      <c r="AM68" s="9"/>
    </row>
    <row r="69" spans="1:39">
      <c r="A69" s="10" t="s">
        <v>112</v>
      </c>
      <c r="B69" s="11"/>
      <c r="C69" s="11"/>
      <c r="D69" s="10"/>
      <c r="E69" s="11" t="s">
        <v>12</v>
      </c>
      <c r="F69" s="11" t="s">
        <v>12</v>
      </c>
      <c r="G69" s="11" t="s">
        <v>12</v>
      </c>
      <c r="H69" s="11" t="s">
        <v>12</v>
      </c>
      <c r="I69" s="11" t="s">
        <v>12</v>
      </c>
      <c r="J69" s="11" t="s">
        <v>8</v>
      </c>
      <c r="K69" s="11" t="s">
        <v>8</v>
      </c>
      <c r="L69" s="8" cm="1">
        <f t="array" ref="L69">SUMPRODUCT(IFERROR(TIMEVALUE(RIGHT(#REF!,5))-TIMEVALUE(LEFT(#REF!,5)),0))</f>
        <v>0</v>
      </c>
      <c r="M69" s="3" cm="1">
        <f t="array" ref="M69">SUMPRODUCT(IFERROR(TIMEVALUE(RIGHT(E69:K69,5))-TIMEVALUE(LEFT(E69:K69,5)),0))</f>
        <v>1.770833333333333</v>
      </c>
      <c r="AM69" s="9"/>
    </row>
    <row r="70" spans="1:39">
      <c r="A70" s="10" t="s">
        <v>113</v>
      </c>
      <c r="B70" s="11"/>
      <c r="C70" s="11"/>
      <c r="D70" s="10"/>
      <c r="E70" s="11" t="s">
        <v>8</v>
      </c>
      <c r="F70" s="11" t="s">
        <v>8</v>
      </c>
      <c r="G70" s="11" t="s">
        <v>75</v>
      </c>
      <c r="H70" s="11" t="s">
        <v>75</v>
      </c>
      <c r="I70" s="11" t="s">
        <v>75</v>
      </c>
      <c r="J70" s="11" t="s">
        <v>75</v>
      </c>
      <c r="K70" s="11" t="s">
        <v>75</v>
      </c>
      <c r="L70" s="8" cm="1">
        <f t="array" ref="L70">SUMPRODUCT(IFERROR(TIMEVALUE(RIGHT(#REF!,5))-TIMEVALUE(LEFT(#REF!,5)),0))</f>
        <v>0</v>
      </c>
      <c r="M70" s="3" cm="1">
        <f t="array" ref="M70">SUMPRODUCT(IFERROR(TIMEVALUE(RIGHT(E70:K70,5))-TIMEVALUE(LEFT(E70:K70,5)),0))</f>
        <v>0</v>
      </c>
    </row>
    <row r="71" spans="1:39">
      <c r="A71" s="10" t="s">
        <v>114</v>
      </c>
      <c r="B71" s="11"/>
      <c r="C71" s="11"/>
      <c r="D71" s="10"/>
      <c r="E71" s="11" t="s">
        <v>12</v>
      </c>
      <c r="F71" s="11" t="s">
        <v>12</v>
      </c>
      <c r="G71" s="11" t="s">
        <v>12</v>
      </c>
      <c r="H71" s="11" t="s">
        <v>12</v>
      </c>
      <c r="I71" s="11" t="s">
        <v>12</v>
      </c>
      <c r="J71" s="11" t="s">
        <v>8</v>
      </c>
      <c r="K71" s="11" t="s">
        <v>8</v>
      </c>
      <c r="L71" s="8" cm="1">
        <f t="array" ref="L71">SUMPRODUCT(IFERROR(TIMEVALUE(RIGHT(#REF!,5))-TIMEVALUE(LEFT(#REF!,5)),0))</f>
        <v>0</v>
      </c>
      <c r="M71" s="3" cm="1">
        <f t="array" ref="M71">SUMPRODUCT(IFERROR(TIMEVALUE(RIGHT(E71:K71,5))-TIMEVALUE(LEFT(E71:K71,5)),0))</f>
        <v>1.770833333333333</v>
      </c>
    </row>
    <row r="72" spans="1:39">
      <c r="A72" s="10" t="s">
        <v>115</v>
      </c>
      <c r="B72" s="11"/>
      <c r="C72" s="11"/>
      <c r="D72" s="10"/>
      <c r="E72" s="11" t="s">
        <v>12</v>
      </c>
      <c r="F72" s="11" t="s">
        <v>12</v>
      </c>
      <c r="G72" s="11" t="s">
        <v>12</v>
      </c>
      <c r="H72" s="11" t="s">
        <v>12</v>
      </c>
      <c r="I72" s="11" t="s">
        <v>12</v>
      </c>
      <c r="J72" s="11" t="s">
        <v>8</v>
      </c>
      <c r="K72" s="11" t="s">
        <v>8</v>
      </c>
      <c r="L72" s="8" cm="1">
        <f t="array" ref="L72">SUMPRODUCT(IFERROR(TIMEVALUE(RIGHT(#REF!,5))-TIMEVALUE(LEFT(#REF!,5)),0))</f>
        <v>0</v>
      </c>
      <c r="M72" s="3" cm="1">
        <f t="array" ref="M72">SUMPRODUCT(IFERROR(TIMEVALUE(RIGHT(E72:K72,5))-TIMEVALUE(LEFT(E72:K72,5)),0))</f>
        <v>1.770833333333333</v>
      </c>
    </row>
    <row r="73" spans="1:39">
      <c r="A73" s="10" t="s">
        <v>116</v>
      </c>
      <c r="B73" s="11"/>
      <c r="C73" s="11"/>
      <c r="D73" s="10"/>
      <c r="E73" s="11" t="s">
        <v>12</v>
      </c>
      <c r="F73" s="11" t="s">
        <v>12</v>
      </c>
      <c r="G73" s="11" t="s">
        <v>12</v>
      </c>
      <c r="H73" s="11" t="s">
        <v>8</v>
      </c>
      <c r="I73" s="11" t="s">
        <v>8</v>
      </c>
      <c r="J73" s="11" t="s">
        <v>12</v>
      </c>
      <c r="K73" s="11" t="s">
        <v>12</v>
      </c>
      <c r="L73" s="8" cm="1">
        <f t="array" ref="L73">SUMPRODUCT(IFERROR(TIMEVALUE(RIGHT(#REF!,5))-TIMEVALUE(LEFT(#REF!,5)),0))</f>
        <v>0</v>
      </c>
      <c r="M73" s="3" cm="1">
        <f t="array" ref="M73">SUMPRODUCT(IFERROR(TIMEVALUE(RIGHT(E73:K73,5))-TIMEVALUE(LEFT(E73:K73,5)),0))</f>
        <v>1.770833333333333</v>
      </c>
    </row>
    <row r="74" spans="1:39">
      <c r="A74" s="10" t="s">
        <v>117</v>
      </c>
      <c r="B74" s="11"/>
      <c r="C74" s="11"/>
      <c r="D74" s="10"/>
      <c r="E74" s="11" t="s">
        <v>12</v>
      </c>
      <c r="F74" s="11" t="s">
        <v>12</v>
      </c>
      <c r="G74" s="11" t="s">
        <v>12</v>
      </c>
      <c r="H74" s="11" t="s">
        <v>12</v>
      </c>
      <c r="I74" s="11" t="s">
        <v>12</v>
      </c>
      <c r="J74" s="11" t="s">
        <v>8</v>
      </c>
      <c r="K74" s="11" t="s">
        <v>8</v>
      </c>
      <c r="L74" s="8" cm="1">
        <f t="array" ref="L74">SUMPRODUCT(IFERROR(TIMEVALUE(RIGHT(#REF!,5))-TIMEVALUE(LEFT(#REF!,5)),0))</f>
        <v>0</v>
      </c>
      <c r="M74" s="3" cm="1">
        <f t="array" ref="M74">SUMPRODUCT(IFERROR(TIMEVALUE(RIGHT(E74:K74,5))-TIMEVALUE(LEFT(E74:K74,5)),0))</f>
        <v>1.770833333333333</v>
      </c>
    </row>
    <row r="75" spans="1:39">
      <c r="A75" s="10" t="s">
        <v>118</v>
      </c>
      <c r="B75" s="11"/>
      <c r="C75" s="11"/>
      <c r="D75" s="10"/>
      <c r="E75" s="11" t="s">
        <v>27</v>
      </c>
      <c r="F75" s="11" t="s">
        <v>27</v>
      </c>
      <c r="G75" s="11" t="s">
        <v>8</v>
      </c>
      <c r="H75" s="11" t="s">
        <v>8</v>
      </c>
      <c r="I75" s="11" t="s">
        <v>27</v>
      </c>
      <c r="J75" s="11" t="s">
        <v>27</v>
      </c>
      <c r="K75" s="11" t="s">
        <v>27</v>
      </c>
      <c r="L75" s="8" cm="1">
        <f t="array" ref="L75">SUMPRODUCT(IFERROR(TIMEVALUE(RIGHT(#REF!,5))-TIMEVALUE(LEFT(#REF!,5)),0))</f>
        <v>0</v>
      </c>
      <c r="M75" s="3" cm="1">
        <f t="array" ref="M75">SUMPRODUCT(IFERROR(TIMEVALUE(RIGHT(E75:K75,5))-TIMEVALUE(LEFT(E75:K75,5)),0))</f>
        <v>1.7708333333333335</v>
      </c>
    </row>
    <row r="76" spans="1:39">
      <c r="A76" s="10" t="s">
        <v>119</v>
      </c>
      <c r="B76" s="11"/>
      <c r="C76" s="11"/>
      <c r="D76" s="10"/>
      <c r="E76" s="11" t="s">
        <v>12</v>
      </c>
      <c r="F76" s="11" t="s">
        <v>8</v>
      </c>
      <c r="G76" s="11" t="s">
        <v>8</v>
      </c>
      <c r="H76" s="11" t="s">
        <v>12</v>
      </c>
      <c r="I76" s="11" t="s">
        <v>12</v>
      </c>
      <c r="J76" s="11" t="s">
        <v>12</v>
      </c>
      <c r="K76" s="11" t="s">
        <v>12</v>
      </c>
      <c r="L76" s="8" cm="1">
        <f t="array" ref="L76">SUMPRODUCT(IFERROR(TIMEVALUE(RIGHT(#REF!,5))-TIMEVALUE(LEFT(#REF!,5)),0))</f>
        <v>0</v>
      </c>
      <c r="M76" s="3" cm="1">
        <f t="array" ref="M76">SUMPRODUCT(IFERROR(TIMEVALUE(RIGHT(E76:K76,5))-TIMEVALUE(LEFT(E76:K76,5)),0))</f>
        <v>1.770833333333333</v>
      </c>
    </row>
    <row r="77" spans="1:39">
      <c r="A77" s="10" t="s">
        <v>120</v>
      </c>
      <c r="B77" s="11"/>
      <c r="C77" s="11"/>
      <c r="D77" s="10"/>
      <c r="E77" s="11" t="s">
        <v>12</v>
      </c>
      <c r="F77" s="11" t="s">
        <v>12</v>
      </c>
      <c r="G77" s="11" t="s">
        <v>8</v>
      </c>
      <c r="H77" s="11" t="s">
        <v>12</v>
      </c>
      <c r="I77" s="11" t="s">
        <v>12</v>
      </c>
      <c r="J77" s="11" t="s">
        <v>12</v>
      </c>
      <c r="K77" s="11" t="s">
        <v>8</v>
      </c>
      <c r="L77" s="8" cm="1">
        <f t="array" ref="L77">SUMPRODUCT(IFERROR(TIMEVALUE(RIGHT(#REF!,5))-TIMEVALUE(LEFT(#REF!,5)),0))</f>
        <v>0</v>
      </c>
      <c r="M77" s="3" cm="1">
        <f t="array" ref="M77">SUMPRODUCT(IFERROR(TIMEVALUE(RIGHT(E77:K77,5))-TIMEVALUE(LEFT(E77:K77,5)),0))</f>
        <v>1.770833333333333</v>
      </c>
    </row>
    <row r="78" spans="1:39">
      <c r="A78" s="10" t="s">
        <v>121</v>
      </c>
      <c r="B78" s="11"/>
      <c r="C78" s="11"/>
      <c r="D78" s="10"/>
      <c r="E78" s="11" t="s">
        <v>12</v>
      </c>
      <c r="F78" s="11" t="s">
        <v>12</v>
      </c>
      <c r="G78" s="11" t="s">
        <v>12</v>
      </c>
      <c r="H78" s="11" t="s">
        <v>12</v>
      </c>
      <c r="I78" s="11" t="s">
        <v>8</v>
      </c>
      <c r="J78" s="11" t="s">
        <v>8</v>
      </c>
      <c r="K78" s="11" t="s">
        <v>12</v>
      </c>
      <c r="L78" s="8" cm="1">
        <f t="array" ref="L78">SUMPRODUCT(IFERROR(TIMEVALUE(RIGHT(#REF!,5))-TIMEVALUE(LEFT(#REF!,5)),0))</f>
        <v>0</v>
      </c>
      <c r="M78" s="3" cm="1">
        <f t="array" ref="M78">SUMPRODUCT(IFERROR(TIMEVALUE(RIGHT(E78:K78,5))-TIMEVALUE(LEFT(E78:K78,5)),0))</f>
        <v>1.770833333333333</v>
      </c>
    </row>
    <row r="79" spans="1:39">
      <c r="A79" s="10" t="s">
        <v>122</v>
      </c>
      <c r="B79" s="11"/>
      <c r="C79" s="11"/>
      <c r="D79" s="10"/>
      <c r="E79" s="11" t="s">
        <v>12</v>
      </c>
      <c r="F79" s="11" t="s">
        <v>8</v>
      </c>
      <c r="G79" s="11" t="s">
        <v>8</v>
      </c>
      <c r="H79" s="11" t="s">
        <v>12</v>
      </c>
      <c r="I79" s="11" t="s">
        <v>12</v>
      </c>
      <c r="J79" s="11" t="s">
        <v>12</v>
      </c>
      <c r="K79" s="11" t="s">
        <v>12</v>
      </c>
      <c r="L79" s="8" cm="1">
        <f t="array" ref="L79">SUMPRODUCT(IFERROR(TIMEVALUE(RIGHT(#REF!,5))-TIMEVALUE(LEFT(#REF!,5)),0))</f>
        <v>0</v>
      </c>
      <c r="M79" s="3" cm="1">
        <f t="array" ref="M79">SUMPRODUCT(IFERROR(TIMEVALUE(RIGHT(E79:K79,5))-TIMEVALUE(LEFT(E79:K79,5)),0))</f>
        <v>1.770833333333333</v>
      </c>
    </row>
    <row r="80" spans="1:39">
      <c r="A80" s="10" t="s">
        <v>123</v>
      </c>
      <c r="B80" s="11"/>
      <c r="C80" s="11"/>
      <c r="D80" s="10"/>
      <c r="E80" s="11" t="s">
        <v>12</v>
      </c>
      <c r="F80" s="11" t="s">
        <v>12</v>
      </c>
      <c r="G80" s="11" t="s">
        <v>12</v>
      </c>
      <c r="H80" s="11" t="s">
        <v>12</v>
      </c>
      <c r="I80" s="11" t="s">
        <v>12</v>
      </c>
      <c r="J80" s="11" t="s">
        <v>8</v>
      </c>
      <c r="K80" s="11" t="s">
        <v>8</v>
      </c>
      <c r="L80" s="8" cm="1">
        <f t="array" ref="L80">SUMPRODUCT(IFERROR(TIMEVALUE(RIGHT(#REF!,5))-TIMEVALUE(LEFT(#REF!,5)),0))</f>
        <v>0</v>
      </c>
      <c r="M80" s="3" cm="1">
        <f t="array" ref="M80">SUMPRODUCT(IFERROR(TIMEVALUE(RIGHT(E80:K80,5))-TIMEVALUE(LEFT(E80:K80,5)),0))</f>
        <v>1.770833333333333</v>
      </c>
    </row>
    <row r="81" spans="1:13">
      <c r="A81" s="10" t="s">
        <v>124</v>
      </c>
      <c r="B81" s="11"/>
      <c r="C81" s="11"/>
      <c r="D81" s="10"/>
      <c r="E81" s="11" t="s">
        <v>8</v>
      </c>
      <c r="F81" s="11" t="s">
        <v>12</v>
      </c>
      <c r="G81" s="11" t="s">
        <v>12</v>
      </c>
      <c r="H81" s="11" t="s">
        <v>12</v>
      </c>
      <c r="I81" s="11" t="s">
        <v>12</v>
      </c>
      <c r="J81" s="11" t="s">
        <v>12</v>
      </c>
      <c r="K81" s="11" t="s">
        <v>8</v>
      </c>
      <c r="L81" s="8" cm="1">
        <f t="array" ref="L81">SUMPRODUCT(IFERROR(TIMEVALUE(RIGHT(#REF!,5))-TIMEVALUE(LEFT(#REF!,5)),0))</f>
        <v>0</v>
      </c>
      <c r="M81" s="3" cm="1">
        <f t="array" ref="M81">SUMPRODUCT(IFERROR(TIMEVALUE(RIGHT(E81:K81,5))-TIMEVALUE(LEFT(E81:K81,5)),0))</f>
        <v>1.770833333333333</v>
      </c>
    </row>
    <row r="82" spans="1:13">
      <c r="A82" s="10" t="s">
        <v>125</v>
      </c>
      <c r="B82" s="11"/>
      <c r="C82" s="11"/>
      <c r="D82" s="10"/>
      <c r="E82" s="11" t="s">
        <v>12</v>
      </c>
      <c r="F82" s="11" t="s">
        <v>12</v>
      </c>
      <c r="G82" s="11" t="s">
        <v>12</v>
      </c>
      <c r="H82" s="11" t="s">
        <v>12</v>
      </c>
      <c r="I82" s="11" t="s">
        <v>12</v>
      </c>
      <c r="J82" s="11" t="s">
        <v>8</v>
      </c>
      <c r="K82" s="11" t="s">
        <v>8</v>
      </c>
      <c r="L82" s="8" cm="1">
        <f t="array" ref="L82">SUMPRODUCT(IFERROR(TIMEVALUE(RIGHT(#REF!,5))-TIMEVALUE(LEFT(#REF!,5)),0))</f>
        <v>0</v>
      </c>
      <c r="M82" s="3" cm="1">
        <f t="array" ref="M82">SUMPRODUCT(IFERROR(TIMEVALUE(RIGHT(E82:K82,5))-TIMEVALUE(LEFT(E82:K82,5)),0))</f>
        <v>1.770833333333333</v>
      </c>
    </row>
    <row r="83" spans="1:13">
      <c r="A83" s="10" t="s">
        <v>126</v>
      </c>
      <c r="B83" s="11"/>
      <c r="C83" s="11"/>
      <c r="D83" s="10"/>
      <c r="E83" s="11" t="s">
        <v>12</v>
      </c>
      <c r="F83" s="11" t="s">
        <v>12</v>
      </c>
      <c r="G83" s="11" t="s">
        <v>12</v>
      </c>
      <c r="H83" s="11" t="s">
        <v>12</v>
      </c>
      <c r="I83" s="11" t="s">
        <v>12</v>
      </c>
      <c r="J83" s="11" t="s">
        <v>8</v>
      </c>
      <c r="K83" s="11" t="s">
        <v>8</v>
      </c>
      <c r="L83" s="8" cm="1">
        <f t="array" ref="L83">SUMPRODUCT(IFERROR(TIMEVALUE(RIGHT(#REF!,5))-TIMEVALUE(LEFT(#REF!,5)),0))</f>
        <v>0</v>
      </c>
      <c r="M83" s="3" cm="1">
        <f t="array" ref="M83">SUMPRODUCT(IFERROR(TIMEVALUE(RIGHT(E83:K83,5))-TIMEVALUE(LEFT(E83:K83,5)),0))</f>
        <v>1.770833333333333</v>
      </c>
    </row>
    <row r="84" spans="1:13">
      <c r="A84" s="10" t="s">
        <v>127</v>
      </c>
      <c r="B84" s="11"/>
      <c r="C84" s="11"/>
      <c r="D84" s="10"/>
      <c r="E84" s="11" t="s">
        <v>8</v>
      </c>
      <c r="F84" s="11" t="s">
        <v>8</v>
      </c>
      <c r="G84" s="11" t="s">
        <v>12</v>
      </c>
      <c r="H84" s="11" t="s">
        <v>12</v>
      </c>
      <c r="I84" s="11" t="s">
        <v>12</v>
      </c>
      <c r="J84" s="11" t="s">
        <v>12</v>
      </c>
      <c r="K84" s="11" t="s">
        <v>12</v>
      </c>
      <c r="L84" s="8" cm="1">
        <f t="array" ref="L84">SUMPRODUCT(IFERROR(TIMEVALUE(RIGHT(#REF!,5))-TIMEVALUE(LEFT(#REF!,5)),0))</f>
        <v>0</v>
      </c>
      <c r="M84" s="3" cm="1">
        <f t="array" ref="M84">SUMPRODUCT(IFERROR(TIMEVALUE(RIGHT(E84:K84,5))-TIMEVALUE(LEFT(E84:K84,5)),0))</f>
        <v>1.770833333333333</v>
      </c>
    </row>
    <row r="85" spans="1:13">
      <c r="A85" s="10" t="s">
        <v>128</v>
      </c>
      <c r="B85" s="11"/>
      <c r="C85" s="11"/>
      <c r="D85" s="10"/>
      <c r="E85" s="11" t="s">
        <v>12</v>
      </c>
      <c r="F85" s="11" t="s">
        <v>12</v>
      </c>
      <c r="G85" s="11" t="s">
        <v>12</v>
      </c>
      <c r="H85" s="11" t="s">
        <v>12</v>
      </c>
      <c r="I85" s="11" t="s">
        <v>8</v>
      </c>
      <c r="J85" s="11" t="s">
        <v>8</v>
      </c>
      <c r="K85" s="11" t="s">
        <v>12</v>
      </c>
      <c r="L85" s="8" cm="1">
        <f t="array" ref="L85">SUMPRODUCT(IFERROR(TIMEVALUE(RIGHT(#REF!,5))-TIMEVALUE(LEFT(#REF!,5)),0))</f>
        <v>0</v>
      </c>
      <c r="M85" s="3" cm="1">
        <f t="array" ref="M85">SUMPRODUCT(IFERROR(TIMEVALUE(RIGHT(E85:K85,5))-TIMEVALUE(LEFT(E85:K85,5)),0))</f>
        <v>1.770833333333333</v>
      </c>
    </row>
    <row r="86" spans="1:13">
      <c r="A86" s="10" t="s">
        <v>129</v>
      </c>
      <c r="B86" s="11"/>
      <c r="C86" s="11"/>
      <c r="D86" s="10"/>
      <c r="E86" s="11" t="s">
        <v>8</v>
      </c>
      <c r="F86" s="11" t="s">
        <v>12</v>
      </c>
      <c r="G86" s="11" t="s">
        <v>12</v>
      </c>
      <c r="H86" s="11" t="s">
        <v>12</v>
      </c>
      <c r="I86" s="11" t="s">
        <v>12</v>
      </c>
      <c r="J86" s="11" t="s">
        <v>12</v>
      </c>
      <c r="K86" s="11" t="s">
        <v>8</v>
      </c>
      <c r="L86" s="8" cm="1">
        <f t="array" ref="L86">SUMPRODUCT(IFERROR(TIMEVALUE(RIGHT(#REF!,5))-TIMEVALUE(LEFT(#REF!,5)),0))</f>
        <v>0</v>
      </c>
      <c r="M86" s="3" cm="1">
        <f t="array" ref="M86">SUMPRODUCT(IFERROR(TIMEVALUE(RIGHT(E86:K86,5))-TIMEVALUE(LEFT(E86:K86,5)),0))</f>
        <v>1.770833333333333</v>
      </c>
    </row>
    <row r="87" spans="1:13">
      <c r="A87" s="10" t="s">
        <v>130</v>
      </c>
      <c r="B87" s="11"/>
      <c r="C87" s="11"/>
      <c r="D87" s="10"/>
      <c r="E87" s="11" t="s">
        <v>8</v>
      </c>
      <c r="F87" s="11" t="s">
        <v>12</v>
      </c>
      <c r="G87" s="11" t="s">
        <v>12</v>
      </c>
      <c r="H87" s="11" t="s">
        <v>12</v>
      </c>
      <c r="I87" s="11" t="s">
        <v>12</v>
      </c>
      <c r="J87" s="11" t="s">
        <v>12</v>
      </c>
      <c r="K87" s="11" t="s">
        <v>8</v>
      </c>
      <c r="L87" s="8" cm="1">
        <f t="array" ref="L87">SUMPRODUCT(IFERROR(TIMEVALUE(RIGHT(#REF!,5))-TIMEVALUE(LEFT(#REF!,5)),0))</f>
        <v>0</v>
      </c>
      <c r="M87" s="3" cm="1">
        <f t="array" ref="M87">SUMPRODUCT(IFERROR(TIMEVALUE(RIGHT(E87:K87,5))-TIMEVALUE(LEFT(E87:K87,5)),0))</f>
        <v>1.770833333333333</v>
      </c>
    </row>
    <row r="88" spans="1:13">
      <c r="A88" s="10" t="s">
        <v>131</v>
      </c>
      <c r="B88" s="11"/>
      <c r="C88" s="11"/>
      <c r="D88" s="10"/>
      <c r="E88" s="11" t="s">
        <v>12</v>
      </c>
      <c r="F88" s="11" t="s">
        <v>12</v>
      </c>
      <c r="G88" s="11" t="s">
        <v>12</v>
      </c>
      <c r="H88" s="11" t="s">
        <v>12</v>
      </c>
      <c r="I88" s="11" t="s">
        <v>12</v>
      </c>
      <c r="J88" s="11" t="s">
        <v>8</v>
      </c>
      <c r="K88" s="11" t="s">
        <v>8</v>
      </c>
      <c r="L88" s="8" cm="1">
        <f t="array" ref="L88">SUMPRODUCT(IFERROR(TIMEVALUE(RIGHT(#REF!,5))-TIMEVALUE(LEFT(#REF!,5)),0))</f>
        <v>0</v>
      </c>
      <c r="M88" s="3" cm="1">
        <f t="array" ref="M88">SUMPRODUCT(IFERROR(TIMEVALUE(RIGHT(E88:K88,5))-TIMEVALUE(LEFT(E88:K88,5)),0))</f>
        <v>1.770833333333333</v>
      </c>
    </row>
    <row r="89" spans="1:13">
      <c r="A89" s="10" t="s">
        <v>132</v>
      </c>
      <c r="B89" s="11"/>
      <c r="C89" s="11"/>
      <c r="D89" s="10"/>
      <c r="E89" s="11" t="s">
        <v>12</v>
      </c>
      <c r="F89" s="11" t="s">
        <v>12</v>
      </c>
      <c r="G89" s="11" t="s">
        <v>12</v>
      </c>
      <c r="H89" s="11" t="s">
        <v>8</v>
      </c>
      <c r="I89" s="11" t="s">
        <v>12</v>
      </c>
      <c r="J89" s="11" t="s">
        <v>8</v>
      </c>
      <c r="K89" s="11" t="s">
        <v>12</v>
      </c>
      <c r="L89" s="8" cm="1">
        <f t="array" ref="L89">SUMPRODUCT(IFERROR(TIMEVALUE(RIGHT(#REF!,5))-TIMEVALUE(LEFT(#REF!,5)),0))</f>
        <v>0</v>
      </c>
      <c r="M89" s="3" cm="1">
        <f t="array" ref="M89">SUMPRODUCT(IFERROR(TIMEVALUE(RIGHT(E89:K89,5))-TIMEVALUE(LEFT(E89:K89,5)),0))</f>
        <v>1.770833333333333</v>
      </c>
    </row>
    <row r="90" spans="1:13">
      <c r="A90" s="10" t="s">
        <v>133</v>
      </c>
      <c r="B90" s="11"/>
      <c r="C90" s="11"/>
      <c r="D90" s="10"/>
      <c r="E90" s="11" t="s">
        <v>7</v>
      </c>
      <c r="F90" s="11" t="s">
        <v>7</v>
      </c>
      <c r="G90" s="11" t="s">
        <v>7</v>
      </c>
      <c r="H90" s="11" t="s">
        <v>7</v>
      </c>
      <c r="I90" s="11" t="s">
        <v>7</v>
      </c>
      <c r="J90" s="11" t="s">
        <v>8</v>
      </c>
      <c r="K90" s="11" t="s">
        <v>8</v>
      </c>
      <c r="L90" s="8" cm="1">
        <f t="array" ref="L90">SUMPRODUCT(IFERROR(TIMEVALUE(RIGHT(#REF!,5))-TIMEVALUE(LEFT(#REF!,5)),0))</f>
        <v>0</v>
      </c>
      <c r="M90" s="3" cm="1">
        <f t="array" ref="M90">SUMPRODUCT(IFERROR(TIMEVALUE(RIGHT(E90:K90,5))-TIMEVALUE(LEFT(E90:K90,5)),0))</f>
        <v>1.7708333333333335</v>
      </c>
    </row>
    <row r="91" spans="1:13">
      <c r="A91" s="10" t="s">
        <v>134</v>
      </c>
      <c r="B91" s="11"/>
      <c r="C91" s="11"/>
      <c r="D91" s="10"/>
      <c r="E91" s="11" t="s">
        <v>8</v>
      </c>
      <c r="F91" s="11" t="s">
        <v>7</v>
      </c>
      <c r="G91" s="11" t="s">
        <v>7</v>
      </c>
      <c r="H91" s="11" t="s">
        <v>7</v>
      </c>
      <c r="I91" s="11" t="s">
        <v>7</v>
      </c>
      <c r="J91" s="11" t="s">
        <v>7</v>
      </c>
      <c r="K91" s="11" t="s">
        <v>8</v>
      </c>
      <c r="L91" s="8" cm="1">
        <f t="array" ref="L91">SUMPRODUCT(IFERROR(TIMEVALUE(RIGHT(#REF!,5))-TIMEVALUE(LEFT(#REF!,5)),0))</f>
        <v>0</v>
      </c>
      <c r="M91" s="3" cm="1">
        <f t="array" ref="M91">SUMPRODUCT(IFERROR(TIMEVALUE(RIGHT(E91:K91,5))-TIMEVALUE(LEFT(E91:K91,5)),0))</f>
        <v>1.7708333333333335</v>
      </c>
    </row>
    <row r="92" spans="1:13">
      <c r="A92" s="10" t="s">
        <v>135</v>
      </c>
      <c r="B92" s="11"/>
      <c r="C92" s="11"/>
      <c r="D92" s="10"/>
      <c r="E92" s="11" t="s">
        <v>7</v>
      </c>
      <c r="F92" s="11" t="s">
        <v>7</v>
      </c>
      <c r="G92" s="11" t="s">
        <v>7</v>
      </c>
      <c r="H92" s="11" t="s">
        <v>7</v>
      </c>
      <c r="I92" s="11" t="s">
        <v>8</v>
      </c>
      <c r="J92" s="11" t="s">
        <v>7</v>
      </c>
      <c r="K92" s="11" t="s">
        <v>8</v>
      </c>
      <c r="L92" s="8" cm="1">
        <f t="array" ref="L92">SUMPRODUCT(IFERROR(TIMEVALUE(RIGHT(#REF!,5))-TIMEVALUE(LEFT(#REF!,5)),0))</f>
        <v>0</v>
      </c>
      <c r="M92" s="3" cm="1">
        <f t="array" ref="M92">SUMPRODUCT(IFERROR(TIMEVALUE(RIGHT(E92:K92,5))-TIMEVALUE(LEFT(E92:K92,5)),0))</f>
        <v>1.7708333333333335</v>
      </c>
    </row>
    <row r="93" spans="1:13">
      <c r="A93" s="10" t="s">
        <v>136</v>
      </c>
      <c r="B93" s="11"/>
      <c r="C93" s="11"/>
      <c r="D93" s="10"/>
      <c r="E93" s="11" t="s">
        <v>7</v>
      </c>
      <c r="F93" s="11" t="s">
        <v>7</v>
      </c>
      <c r="G93" s="11" t="s">
        <v>7</v>
      </c>
      <c r="H93" s="11" t="s">
        <v>7</v>
      </c>
      <c r="I93" s="11" t="s">
        <v>8</v>
      </c>
      <c r="J93" s="11" t="s">
        <v>8</v>
      </c>
      <c r="K93" s="11" t="s">
        <v>7</v>
      </c>
      <c r="L93" s="8" cm="1">
        <f t="array" ref="L93">SUMPRODUCT(IFERROR(TIMEVALUE(RIGHT(#REF!,5))-TIMEVALUE(LEFT(#REF!,5)),0))</f>
        <v>0</v>
      </c>
      <c r="M93" s="3" cm="1">
        <f t="array" ref="M93">SUMPRODUCT(IFERROR(TIMEVALUE(RIGHT(E93:K93,5))-TIMEVALUE(LEFT(E93:K93,5)),0))</f>
        <v>1.7708333333333335</v>
      </c>
    </row>
    <row r="94" spans="1:13">
      <c r="A94" s="10" t="s">
        <v>137</v>
      </c>
      <c r="B94" s="11"/>
      <c r="C94" s="11"/>
      <c r="D94" s="10"/>
      <c r="E94" s="11" t="s">
        <v>7</v>
      </c>
      <c r="F94" s="11" t="s">
        <v>7</v>
      </c>
      <c r="G94" s="11" t="s">
        <v>7</v>
      </c>
      <c r="H94" s="11" t="s">
        <v>7</v>
      </c>
      <c r="I94" s="11" t="s">
        <v>7</v>
      </c>
      <c r="J94" s="11" t="s">
        <v>8</v>
      </c>
      <c r="K94" s="11" t="s">
        <v>8</v>
      </c>
      <c r="L94" s="8" cm="1">
        <f t="array" ref="L94">SUMPRODUCT(IFERROR(TIMEVALUE(RIGHT(#REF!,5))-TIMEVALUE(LEFT(#REF!,5)),0))</f>
        <v>0</v>
      </c>
      <c r="M94" s="3" cm="1">
        <f t="array" ref="M94">SUMPRODUCT(IFERROR(TIMEVALUE(RIGHT(E94:K94,5))-TIMEVALUE(LEFT(E94:K94,5)),0))</f>
        <v>1.7708333333333335</v>
      </c>
    </row>
    <row r="95" spans="1:13">
      <c r="A95" s="10" t="s">
        <v>138</v>
      </c>
      <c r="B95" s="11"/>
      <c r="C95" s="11"/>
      <c r="D95" s="10"/>
      <c r="E95" s="11" t="s">
        <v>7</v>
      </c>
      <c r="F95" s="11" t="s">
        <v>7</v>
      </c>
      <c r="G95" s="11" t="s">
        <v>7</v>
      </c>
      <c r="H95" s="11" t="s">
        <v>7</v>
      </c>
      <c r="I95" s="11" t="s">
        <v>7</v>
      </c>
      <c r="J95" s="11" t="s">
        <v>8</v>
      </c>
      <c r="K95" s="11" t="s">
        <v>8</v>
      </c>
      <c r="L95" s="8" cm="1">
        <f t="array" ref="L95">SUMPRODUCT(IFERROR(TIMEVALUE(RIGHT(#REF!,5))-TIMEVALUE(LEFT(#REF!,5)),0))</f>
        <v>0</v>
      </c>
      <c r="M95" s="3" cm="1">
        <f t="array" ref="M95">SUMPRODUCT(IFERROR(TIMEVALUE(RIGHT(E95:K95,5))-TIMEVALUE(LEFT(E95:K95,5)),0))</f>
        <v>1.7708333333333335</v>
      </c>
    </row>
    <row r="96" spans="1:13">
      <c r="A96" s="10" t="s">
        <v>139</v>
      </c>
      <c r="B96" s="11"/>
      <c r="C96" s="11"/>
      <c r="D96" s="10"/>
      <c r="E96" s="11" t="s">
        <v>7</v>
      </c>
      <c r="F96" s="11" t="s">
        <v>7</v>
      </c>
      <c r="G96" s="11" t="s">
        <v>7</v>
      </c>
      <c r="H96" s="11" t="s">
        <v>7</v>
      </c>
      <c r="I96" s="11" t="s">
        <v>7</v>
      </c>
      <c r="J96" s="11" t="s">
        <v>8</v>
      </c>
      <c r="K96" s="11" t="s">
        <v>8</v>
      </c>
      <c r="L96" s="8" cm="1">
        <f t="array" ref="L96">SUMPRODUCT(IFERROR(TIMEVALUE(RIGHT(#REF!,5))-TIMEVALUE(LEFT(#REF!,5)),0))</f>
        <v>0</v>
      </c>
      <c r="M96" s="3" cm="1">
        <f t="array" ref="M96">SUMPRODUCT(IFERROR(TIMEVALUE(RIGHT(E96:K96,5))-TIMEVALUE(LEFT(E96:K96,5)),0))</f>
        <v>1.7708333333333335</v>
      </c>
    </row>
    <row r="97" spans="1:13">
      <c r="A97" s="10" t="s">
        <v>140</v>
      </c>
      <c r="B97" s="11"/>
      <c r="C97" s="11"/>
      <c r="D97" s="10"/>
      <c r="E97" s="11" t="s">
        <v>7</v>
      </c>
      <c r="F97" s="11" t="s">
        <v>7</v>
      </c>
      <c r="G97" s="11" t="s">
        <v>7</v>
      </c>
      <c r="H97" s="11" t="s">
        <v>7</v>
      </c>
      <c r="I97" s="11" t="s">
        <v>7</v>
      </c>
      <c r="J97" s="11" t="s">
        <v>8</v>
      </c>
      <c r="K97" s="11" t="s">
        <v>8</v>
      </c>
      <c r="L97" s="8" cm="1">
        <f t="array" ref="L97">SUMPRODUCT(IFERROR(TIMEVALUE(RIGHT(#REF!,5))-TIMEVALUE(LEFT(#REF!,5)),0))</f>
        <v>0</v>
      </c>
      <c r="M97" s="3" cm="1">
        <f t="array" ref="M97">SUMPRODUCT(IFERROR(TIMEVALUE(RIGHT(E97:K97,5))-TIMEVALUE(LEFT(E97:K97,5)),0))</f>
        <v>1.7708333333333335</v>
      </c>
    </row>
    <row r="98" spans="1:13">
      <c r="A98" s="10" t="s">
        <v>141</v>
      </c>
      <c r="B98" s="11"/>
      <c r="C98" s="11"/>
      <c r="D98" s="10"/>
      <c r="E98" s="11" t="s">
        <v>8</v>
      </c>
      <c r="F98" s="11" t="s">
        <v>27</v>
      </c>
      <c r="G98" s="11" t="s">
        <v>27</v>
      </c>
      <c r="H98" s="11" t="s">
        <v>27</v>
      </c>
      <c r="I98" s="11" t="s">
        <v>12</v>
      </c>
      <c r="J98" s="11" t="s">
        <v>12</v>
      </c>
      <c r="K98" s="11" t="s">
        <v>8</v>
      </c>
      <c r="L98" s="8" cm="1">
        <f t="array" ref="L98">SUMPRODUCT(IFERROR(TIMEVALUE(RIGHT(#REF!,5))-TIMEVALUE(LEFT(#REF!,5)),0))</f>
        <v>0</v>
      </c>
      <c r="M98" s="3" cm="1">
        <f t="array" ref="M98">SUMPRODUCT(IFERROR(TIMEVALUE(RIGHT(E98:K98,5))-TIMEVALUE(LEFT(E98:K98,5)),0))</f>
        <v>1.770833333333333</v>
      </c>
    </row>
    <row r="99" spans="1:13">
      <c r="A99" s="10" t="s">
        <v>142</v>
      </c>
      <c r="B99" s="11"/>
      <c r="C99" s="11"/>
      <c r="D99" s="10"/>
      <c r="E99" s="11" t="s">
        <v>27</v>
      </c>
      <c r="F99" s="11" t="s">
        <v>27</v>
      </c>
      <c r="G99" s="11" t="s">
        <v>27</v>
      </c>
      <c r="H99" s="11" t="s">
        <v>27</v>
      </c>
      <c r="I99" s="11" t="s">
        <v>27</v>
      </c>
      <c r="J99" s="11" t="s">
        <v>8</v>
      </c>
      <c r="K99" s="11" t="s">
        <v>8</v>
      </c>
      <c r="L99" s="8" cm="1">
        <f t="array" ref="L99">SUMPRODUCT(IFERROR(TIMEVALUE(RIGHT(#REF!,5))-TIMEVALUE(LEFT(#REF!,5)),0))</f>
        <v>0</v>
      </c>
      <c r="M99" s="3" cm="1">
        <f t="array" ref="M99">SUMPRODUCT(IFERROR(TIMEVALUE(RIGHT(E99:K99,5))-TIMEVALUE(LEFT(E99:K99,5)),0))</f>
        <v>1.7708333333333335</v>
      </c>
    </row>
    <row r="100" spans="1:13">
      <c r="A100" s="10" t="s">
        <v>143</v>
      </c>
      <c r="B100" s="11"/>
      <c r="C100" s="11"/>
      <c r="D100" s="10"/>
      <c r="E100" s="11" t="s">
        <v>12</v>
      </c>
      <c r="F100" s="11" t="s">
        <v>12</v>
      </c>
      <c r="G100" s="11" t="s">
        <v>12</v>
      </c>
      <c r="H100" s="11" t="s">
        <v>12</v>
      </c>
      <c r="I100" s="11" t="s">
        <v>12</v>
      </c>
      <c r="J100" s="11" t="s">
        <v>8</v>
      </c>
      <c r="K100" s="11" t="s">
        <v>8</v>
      </c>
      <c r="L100" s="8" cm="1">
        <f t="array" ref="L100">SUMPRODUCT(IFERROR(TIMEVALUE(RIGHT(#REF!,5))-TIMEVALUE(LEFT(#REF!,5)),0))</f>
        <v>0</v>
      </c>
      <c r="M100" s="3" cm="1">
        <f t="array" ref="M100">SUMPRODUCT(IFERROR(TIMEVALUE(RIGHT(E100:K100,5))-TIMEVALUE(LEFT(E100:K100,5)),0))</f>
        <v>1.770833333333333</v>
      </c>
    </row>
    <row r="101" spans="1:13">
      <c r="A101" s="10" t="s">
        <v>144</v>
      </c>
      <c r="B101" s="11"/>
      <c r="C101" s="11"/>
      <c r="D101" s="10"/>
      <c r="E101" s="11" t="s">
        <v>27</v>
      </c>
      <c r="F101" s="11" t="s">
        <v>12</v>
      </c>
      <c r="G101" s="11" t="s">
        <v>12</v>
      </c>
      <c r="H101" s="11" t="s">
        <v>12</v>
      </c>
      <c r="I101" s="11" t="s">
        <v>8</v>
      </c>
      <c r="J101" s="11" t="s">
        <v>8</v>
      </c>
      <c r="K101" s="11" t="s">
        <v>27</v>
      </c>
      <c r="L101" s="8" cm="1">
        <f t="array" ref="L101">SUMPRODUCT(IFERROR(TIMEVALUE(RIGHT(#REF!,5))-TIMEVALUE(LEFT(#REF!,5)),0))</f>
        <v>0</v>
      </c>
      <c r="M101" s="3" cm="1">
        <f t="array" ref="M101">SUMPRODUCT(IFERROR(TIMEVALUE(RIGHT(E101:K101,5))-TIMEVALUE(LEFT(E101:K101,5)),0))</f>
        <v>1.7708333333333333</v>
      </c>
    </row>
    <row r="102" spans="1:13">
      <c r="A102" s="10" t="s">
        <v>145</v>
      </c>
      <c r="B102" s="11"/>
      <c r="C102" s="11"/>
      <c r="D102" s="10"/>
      <c r="E102" s="11" t="s">
        <v>12</v>
      </c>
      <c r="F102" s="11" t="s">
        <v>12</v>
      </c>
      <c r="G102" s="11" t="s">
        <v>12</v>
      </c>
      <c r="H102" s="11" t="s">
        <v>8</v>
      </c>
      <c r="I102" s="11" t="s">
        <v>8</v>
      </c>
      <c r="J102" s="11" t="s">
        <v>12</v>
      </c>
      <c r="K102" s="11" t="s">
        <v>12</v>
      </c>
      <c r="L102" s="8" cm="1">
        <f t="array" ref="L102">SUMPRODUCT(IFERROR(TIMEVALUE(RIGHT(#REF!,5))-TIMEVALUE(LEFT(#REF!,5)),0))</f>
        <v>0</v>
      </c>
      <c r="M102" s="3" cm="1">
        <f t="array" ref="M102">SUMPRODUCT(IFERROR(TIMEVALUE(RIGHT(E102:K102,5))-TIMEVALUE(LEFT(E102:K102,5)),0))</f>
        <v>1.770833333333333</v>
      </c>
    </row>
    <row r="103" spans="1:13">
      <c r="A103" s="10" t="s">
        <v>146</v>
      </c>
      <c r="B103" s="11"/>
      <c r="C103" s="11"/>
      <c r="D103" s="10"/>
      <c r="E103" s="11" t="s">
        <v>8</v>
      </c>
      <c r="F103" s="11" t="s">
        <v>27</v>
      </c>
      <c r="G103" s="11" t="s">
        <v>27</v>
      </c>
      <c r="H103" s="11" t="s">
        <v>27</v>
      </c>
      <c r="I103" s="11" t="s">
        <v>27</v>
      </c>
      <c r="J103" s="11" t="s">
        <v>27</v>
      </c>
      <c r="K103" s="11" t="s">
        <v>8</v>
      </c>
      <c r="L103" s="8" cm="1">
        <f t="array" ref="L103">SUMPRODUCT(IFERROR(TIMEVALUE(RIGHT(#REF!,5))-TIMEVALUE(LEFT(#REF!,5)),0))</f>
        <v>0</v>
      </c>
      <c r="M103" s="3" cm="1">
        <f t="array" ref="M103">SUMPRODUCT(IFERROR(TIMEVALUE(RIGHT(E103:K103,5))-TIMEVALUE(LEFT(E103:K103,5)),0))</f>
        <v>1.7708333333333335</v>
      </c>
    </row>
    <row r="104" spans="1:13">
      <c r="A104" s="10" t="s">
        <v>147</v>
      </c>
      <c r="B104" s="11"/>
      <c r="C104" s="11"/>
      <c r="D104" s="10"/>
      <c r="E104" s="11" t="s">
        <v>27</v>
      </c>
      <c r="F104" s="11" t="s">
        <v>27</v>
      </c>
      <c r="G104" s="11" t="s">
        <v>8</v>
      </c>
      <c r="H104" s="11" t="s">
        <v>8</v>
      </c>
      <c r="I104" s="11" t="s">
        <v>27</v>
      </c>
      <c r="J104" s="11" t="s">
        <v>27</v>
      </c>
      <c r="K104" s="11" t="s">
        <v>27</v>
      </c>
      <c r="L104" s="8" cm="1">
        <f t="array" ref="L104">SUMPRODUCT(IFERROR(TIMEVALUE(RIGHT(#REF!,5))-TIMEVALUE(LEFT(#REF!,5)),0))</f>
        <v>0</v>
      </c>
      <c r="M104" s="3" cm="1">
        <f t="array" ref="M104">SUMPRODUCT(IFERROR(TIMEVALUE(RIGHT(E104:K104,5))-TIMEVALUE(LEFT(E104:K104,5)),0))</f>
        <v>1.7708333333333335</v>
      </c>
    </row>
    <row r="105" spans="1:13">
      <c r="A105" s="10" t="s">
        <v>148</v>
      </c>
      <c r="B105" s="11"/>
      <c r="C105" s="11"/>
      <c r="D105" s="10"/>
      <c r="E105" s="11" t="s">
        <v>27</v>
      </c>
      <c r="F105" s="11" t="s">
        <v>8</v>
      </c>
      <c r="G105" s="11" t="s">
        <v>8</v>
      </c>
      <c r="H105" s="11" t="s">
        <v>27</v>
      </c>
      <c r="I105" s="11" t="s">
        <v>27</v>
      </c>
      <c r="J105" s="11" t="s">
        <v>27</v>
      </c>
      <c r="K105" s="11" t="s">
        <v>27</v>
      </c>
      <c r="L105" s="8" cm="1">
        <f t="array" ref="L105">SUMPRODUCT(IFERROR(TIMEVALUE(RIGHT(#REF!,5))-TIMEVALUE(LEFT(#REF!,5)),0))</f>
        <v>0</v>
      </c>
      <c r="M105" s="3" cm="1">
        <f t="array" ref="M105">SUMPRODUCT(IFERROR(TIMEVALUE(RIGHT(E105:K105,5))-TIMEVALUE(LEFT(E105:K105,5)),0))</f>
        <v>1.7708333333333335</v>
      </c>
    </row>
    <row r="106" spans="1:13">
      <c r="A106" s="10" t="s">
        <v>149</v>
      </c>
      <c r="B106" s="11"/>
      <c r="C106" s="11"/>
      <c r="D106" s="10"/>
      <c r="E106" s="11" t="s">
        <v>8</v>
      </c>
      <c r="F106" s="11" t="s">
        <v>27</v>
      </c>
      <c r="G106" s="11" t="s">
        <v>27</v>
      </c>
      <c r="H106" s="11" t="s">
        <v>27</v>
      </c>
      <c r="I106" s="11" t="s">
        <v>27</v>
      </c>
      <c r="J106" s="11" t="s">
        <v>27</v>
      </c>
      <c r="K106" s="11" t="s">
        <v>8</v>
      </c>
      <c r="L106" s="8" cm="1">
        <f t="array" ref="L106">SUMPRODUCT(IFERROR(TIMEVALUE(RIGHT(#REF!,5))-TIMEVALUE(LEFT(#REF!,5)),0))</f>
        <v>0</v>
      </c>
      <c r="M106" s="3" cm="1">
        <f t="array" ref="M106">SUMPRODUCT(IFERROR(TIMEVALUE(RIGHT(E106:K106,5))-TIMEVALUE(LEFT(E106:K106,5)),0))</f>
        <v>1.7708333333333335</v>
      </c>
    </row>
    <row r="107" spans="1:13">
      <c r="A107" s="10" t="s">
        <v>150</v>
      </c>
      <c r="B107" s="11"/>
      <c r="C107" s="11"/>
      <c r="D107" s="10"/>
      <c r="E107" s="11" t="s">
        <v>27</v>
      </c>
      <c r="F107" s="11" t="s">
        <v>27</v>
      </c>
      <c r="G107" s="11" t="s">
        <v>27</v>
      </c>
      <c r="H107" s="11" t="s">
        <v>27</v>
      </c>
      <c r="I107" s="11" t="s">
        <v>8</v>
      </c>
      <c r="J107" s="11" t="s">
        <v>8</v>
      </c>
      <c r="K107" s="11" t="s">
        <v>27</v>
      </c>
      <c r="L107" s="8" cm="1">
        <f t="array" ref="L107">SUMPRODUCT(IFERROR(TIMEVALUE(RIGHT(#REF!,5))-TIMEVALUE(LEFT(#REF!,5)),0))</f>
        <v>0</v>
      </c>
      <c r="M107" s="3" cm="1">
        <f t="array" ref="M107">SUMPRODUCT(IFERROR(TIMEVALUE(RIGHT(E107:K107,5))-TIMEVALUE(LEFT(E107:K107,5)),0))</f>
        <v>1.7708333333333335</v>
      </c>
    </row>
    <row r="108" spans="1:13">
      <c r="A108" s="10" t="s">
        <v>151</v>
      </c>
      <c r="B108" s="11"/>
      <c r="C108" s="11"/>
      <c r="D108" s="10"/>
      <c r="E108" s="11" t="s">
        <v>27</v>
      </c>
      <c r="F108" s="11" t="s">
        <v>27</v>
      </c>
      <c r="G108" s="11" t="s">
        <v>27</v>
      </c>
      <c r="H108" s="11" t="s">
        <v>27</v>
      </c>
      <c r="I108" s="11" t="s">
        <v>27</v>
      </c>
      <c r="J108" s="11" t="s">
        <v>8</v>
      </c>
      <c r="K108" s="11" t="s">
        <v>8</v>
      </c>
      <c r="L108" s="8" cm="1">
        <f t="array" ref="L108">SUMPRODUCT(IFERROR(TIMEVALUE(RIGHT(#REF!,5))-TIMEVALUE(LEFT(#REF!,5)),0))</f>
        <v>0</v>
      </c>
      <c r="M108" s="3" cm="1">
        <f t="array" ref="M108">SUMPRODUCT(IFERROR(TIMEVALUE(RIGHT(E108:K108,5))-TIMEVALUE(LEFT(E108:K108,5)),0))</f>
        <v>1.7708333333333335</v>
      </c>
    </row>
    <row r="109" spans="1:13">
      <c r="A109" s="10" t="s">
        <v>152</v>
      </c>
      <c r="B109" s="11"/>
      <c r="C109" s="11"/>
      <c r="D109" s="10"/>
      <c r="E109" s="11" t="s">
        <v>12</v>
      </c>
      <c r="F109" s="11" t="s">
        <v>12</v>
      </c>
      <c r="G109" s="11" t="s">
        <v>8</v>
      </c>
      <c r="H109" s="11" t="s">
        <v>8</v>
      </c>
      <c r="I109" s="11" t="s">
        <v>12</v>
      </c>
      <c r="J109" s="11" t="s">
        <v>12</v>
      </c>
      <c r="K109" s="11" t="s">
        <v>12</v>
      </c>
      <c r="L109" s="8" cm="1">
        <f t="array" ref="L109">SUMPRODUCT(IFERROR(TIMEVALUE(RIGHT(#REF!,5))-TIMEVALUE(LEFT(#REF!,5)),0))</f>
        <v>0</v>
      </c>
      <c r="M109" s="3" cm="1">
        <f t="array" ref="M109">SUMPRODUCT(IFERROR(TIMEVALUE(RIGHT(E109:K109,5))-TIMEVALUE(LEFT(E109:K109,5)),0))</f>
        <v>1.770833333333333</v>
      </c>
    </row>
    <row r="110" spans="1:13">
      <c r="A110" s="10" t="s">
        <v>153</v>
      </c>
      <c r="B110" s="11"/>
      <c r="C110" s="11"/>
      <c r="D110" s="10"/>
      <c r="E110" s="11" t="s">
        <v>8</v>
      </c>
      <c r="F110" s="11" t="s">
        <v>27</v>
      </c>
      <c r="G110" s="11" t="s">
        <v>27</v>
      </c>
      <c r="H110" s="11" t="s">
        <v>27</v>
      </c>
      <c r="I110" s="11" t="s">
        <v>27</v>
      </c>
      <c r="J110" s="11" t="s">
        <v>27</v>
      </c>
      <c r="K110" s="11" t="s">
        <v>8</v>
      </c>
      <c r="L110" s="8" cm="1">
        <f t="array" ref="L110">SUMPRODUCT(IFERROR(TIMEVALUE(RIGHT(#REF!,5))-TIMEVALUE(LEFT(#REF!,5)),0))</f>
        <v>0</v>
      </c>
      <c r="M110" s="3" cm="1">
        <f t="array" ref="M110">SUMPRODUCT(IFERROR(TIMEVALUE(RIGHT(E110:K110,5))-TIMEVALUE(LEFT(E110:K110,5)),0))</f>
        <v>1.7708333333333335</v>
      </c>
    </row>
    <row r="111" spans="1:13">
      <c r="A111" s="10" t="s">
        <v>154</v>
      </c>
      <c r="B111" s="11"/>
      <c r="C111" s="11"/>
      <c r="D111" s="10"/>
      <c r="E111" s="11" t="s">
        <v>27</v>
      </c>
      <c r="F111" s="11" t="s">
        <v>27</v>
      </c>
      <c r="G111" s="11" t="s">
        <v>27</v>
      </c>
      <c r="H111" s="11" t="s">
        <v>27</v>
      </c>
      <c r="I111" s="11" t="s">
        <v>27</v>
      </c>
      <c r="J111" s="11" t="s">
        <v>8</v>
      </c>
      <c r="K111" s="11" t="s">
        <v>8</v>
      </c>
      <c r="L111" s="8" cm="1">
        <f t="array" ref="L111">SUMPRODUCT(IFERROR(TIMEVALUE(RIGHT(#REF!,5))-TIMEVALUE(LEFT(#REF!,5)),0))</f>
        <v>0</v>
      </c>
      <c r="M111" s="3" cm="1">
        <f t="array" ref="M111">SUMPRODUCT(IFERROR(TIMEVALUE(RIGHT(E111:K111,5))-TIMEVALUE(LEFT(E111:K111,5)),0))</f>
        <v>1.7708333333333335</v>
      </c>
    </row>
    <row r="112" spans="1:13">
      <c r="A112" s="10" t="s">
        <v>155</v>
      </c>
      <c r="B112" s="11"/>
      <c r="C112" s="11"/>
      <c r="D112" s="10"/>
      <c r="E112" s="11" t="s">
        <v>27</v>
      </c>
      <c r="F112" s="11" t="s">
        <v>27</v>
      </c>
      <c r="G112" s="11" t="s">
        <v>27</v>
      </c>
      <c r="H112" s="11" t="s">
        <v>27</v>
      </c>
      <c r="I112" s="11" t="s">
        <v>27</v>
      </c>
      <c r="J112" s="11" t="s">
        <v>8</v>
      </c>
      <c r="K112" s="11" t="s">
        <v>8</v>
      </c>
      <c r="L112" s="8" cm="1">
        <f t="array" ref="L112">SUMPRODUCT(IFERROR(TIMEVALUE(RIGHT(#REF!,5))-TIMEVALUE(LEFT(#REF!,5)),0))</f>
        <v>0</v>
      </c>
      <c r="M112" s="3" cm="1">
        <f t="array" ref="M112">SUMPRODUCT(IFERROR(TIMEVALUE(RIGHT(E112:K112,5))-TIMEVALUE(LEFT(E112:K112,5)),0))</f>
        <v>1.7708333333333335</v>
      </c>
    </row>
    <row r="113" spans="1:13">
      <c r="A113" s="10" t="s">
        <v>156</v>
      </c>
      <c r="B113" s="11"/>
      <c r="C113" s="11"/>
      <c r="D113" s="10"/>
      <c r="E113" s="11" t="s">
        <v>27</v>
      </c>
      <c r="F113" s="11" t="s">
        <v>27</v>
      </c>
      <c r="G113" s="11" t="s">
        <v>8</v>
      </c>
      <c r="H113" s="11" t="s">
        <v>8</v>
      </c>
      <c r="I113" s="11" t="s">
        <v>27</v>
      </c>
      <c r="J113" s="11" t="s">
        <v>27</v>
      </c>
      <c r="K113" s="11" t="s">
        <v>27</v>
      </c>
      <c r="L113" s="8" cm="1">
        <f t="array" ref="L113">SUMPRODUCT(IFERROR(TIMEVALUE(RIGHT(#REF!,5))-TIMEVALUE(LEFT(#REF!,5)),0))</f>
        <v>0</v>
      </c>
      <c r="M113" s="3" cm="1">
        <f t="array" ref="M113">SUMPRODUCT(IFERROR(TIMEVALUE(RIGHT(E113:K113,5))-TIMEVALUE(LEFT(E113:K113,5)),0))</f>
        <v>1.7708333333333335</v>
      </c>
    </row>
    <row r="114" spans="1:13">
      <c r="A114" s="10" t="s">
        <v>157</v>
      </c>
      <c r="B114" s="11"/>
      <c r="C114" s="11"/>
      <c r="D114" s="10"/>
      <c r="E114" s="11" t="s">
        <v>22</v>
      </c>
      <c r="F114" s="11" t="s">
        <v>22</v>
      </c>
      <c r="G114" s="11" t="s">
        <v>22</v>
      </c>
      <c r="H114" s="11" t="s">
        <v>22</v>
      </c>
      <c r="I114" s="11" t="s">
        <v>22</v>
      </c>
      <c r="J114" s="11" t="s">
        <v>8</v>
      </c>
      <c r="K114" s="11" t="s">
        <v>8</v>
      </c>
      <c r="L114" s="8" cm="1">
        <f t="array" ref="L114">SUMPRODUCT(IFERROR(TIMEVALUE(RIGHT(#REF!,5))-TIMEVALUE(LEFT(#REF!,5)),0))</f>
        <v>0</v>
      </c>
      <c r="M114" s="3" cm="1">
        <f t="array" ref="M114">SUMPRODUCT(IFERROR(TIMEVALUE(RIGHT(E114:K114,5))-TIMEVALUE(LEFT(E114:K114,5)),0))</f>
        <v>1.7708333333333335</v>
      </c>
    </row>
    <row r="115" spans="1:13">
      <c r="A115" s="10" t="s">
        <v>158</v>
      </c>
      <c r="B115" s="11"/>
      <c r="C115" s="11"/>
      <c r="D115" s="10"/>
      <c r="E115" s="11" t="s">
        <v>22</v>
      </c>
      <c r="F115" s="11" t="s">
        <v>22</v>
      </c>
      <c r="G115" s="11" t="s">
        <v>22</v>
      </c>
      <c r="H115" s="11" t="s">
        <v>22</v>
      </c>
      <c r="I115" s="11" t="s">
        <v>8</v>
      </c>
      <c r="J115" s="11" t="s">
        <v>8</v>
      </c>
      <c r="K115" s="11" t="s">
        <v>22</v>
      </c>
      <c r="L115" s="8" cm="1">
        <f t="array" ref="L115">SUMPRODUCT(IFERROR(TIMEVALUE(RIGHT(#REF!,5))-TIMEVALUE(LEFT(#REF!,5)),0))</f>
        <v>0</v>
      </c>
      <c r="M115" s="3" cm="1">
        <f t="array" ref="M115">SUMPRODUCT(IFERROR(TIMEVALUE(RIGHT(E115:K115,5))-TIMEVALUE(LEFT(E115:K115,5)),0))</f>
        <v>1.7708333333333335</v>
      </c>
    </row>
    <row r="116" spans="1:13">
      <c r="A116" s="10" t="s">
        <v>159</v>
      </c>
      <c r="B116" s="11"/>
      <c r="C116" s="11"/>
      <c r="D116" s="10"/>
      <c r="E116" s="11" t="s">
        <v>12</v>
      </c>
      <c r="F116" s="11" t="s">
        <v>8</v>
      </c>
      <c r="G116" s="11" t="s">
        <v>8</v>
      </c>
      <c r="H116" s="11" t="s">
        <v>12</v>
      </c>
      <c r="I116" s="11" t="s">
        <v>12</v>
      </c>
      <c r="J116" s="11" t="s">
        <v>12</v>
      </c>
      <c r="K116" s="11" t="s">
        <v>12</v>
      </c>
      <c r="L116" s="8" cm="1">
        <f t="array" ref="L116">SUMPRODUCT(IFERROR(TIMEVALUE(RIGHT(#REF!,5))-TIMEVALUE(LEFT(#REF!,5)),0))</f>
        <v>0</v>
      </c>
      <c r="M116" s="3" cm="1">
        <f t="array" ref="M116">SUMPRODUCT(IFERROR(TIMEVALUE(RIGHT(E116:K116,5))-TIMEVALUE(LEFT(E116:K116,5)),0))</f>
        <v>1.770833333333333</v>
      </c>
    </row>
    <row r="117" spans="1:13">
      <c r="A117" s="10" t="s">
        <v>160</v>
      </c>
      <c r="B117" s="11"/>
      <c r="C117" s="11"/>
      <c r="D117" s="10"/>
      <c r="E117" s="11" t="s">
        <v>8</v>
      </c>
      <c r="F117" s="11" t="s">
        <v>12</v>
      </c>
      <c r="G117" s="11" t="s">
        <v>12</v>
      </c>
      <c r="H117" s="11" t="s">
        <v>12</v>
      </c>
      <c r="I117" s="11" t="s">
        <v>12</v>
      </c>
      <c r="J117" s="11" t="s">
        <v>12</v>
      </c>
      <c r="K117" s="11" t="s">
        <v>8</v>
      </c>
      <c r="L117" s="8" cm="1">
        <f t="array" ref="L117">SUMPRODUCT(IFERROR(TIMEVALUE(RIGHT(#REF!,5))-TIMEVALUE(LEFT(#REF!,5)),0))</f>
        <v>0</v>
      </c>
      <c r="M117" s="3" cm="1">
        <f t="array" ref="M117">SUMPRODUCT(IFERROR(TIMEVALUE(RIGHT(E117:K117,5))-TIMEVALUE(LEFT(E117:K117,5)),0))</f>
        <v>1.770833333333333</v>
      </c>
    </row>
    <row r="118" spans="1:13">
      <c r="A118" s="10" t="s">
        <v>161</v>
      </c>
      <c r="B118" s="11"/>
      <c r="C118" s="11"/>
      <c r="D118" s="10"/>
      <c r="E118" s="11" t="s">
        <v>7</v>
      </c>
      <c r="F118" s="11" t="s">
        <v>7</v>
      </c>
      <c r="G118" s="11" t="s">
        <v>7</v>
      </c>
      <c r="H118" s="11" t="s">
        <v>7</v>
      </c>
      <c r="I118" s="11" t="s">
        <v>8</v>
      </c>
      <c r="J118" s="11" t="s">
        <v>8</v>
      </c>
      <c r="K118" s="11" t="s">
        <v>7</v>
      </c>
      <c r="L118" s="8" cm="1">
        <f t="array" ref="L118">SUMPRODUCT(IFERROR(TIMEVALUE(RIGHT(#REF!,5))-TIMEVALUE(LEFT(#REF!,5)),0))</f>
        <v>0</v>
      </c>
      <c r="M118" s="3" cm="1">
        <f t="array" ref="M118">SUMPRODUCT(IFERROR(TIMEVALUE(RIGHT(E118:K118,5))-TIMEVALUE(LEFT(E118:K118,5)),0))</f>
        <v>1.7708333333333335</v>
      </c>
    </row>
    <row r="119" spans="1:13">
      <c r="A119" s="10" t="s">
        <v>162</v>
      </c>
      <c r="B119" s="11"/>
      <c r="C119" s="11"/>
      <c r="D119" s="10"/>
      <c r="E119" s="11" t="s">
        <v>27</v>
      </c>
      <c r="F119" s="11" t="s">
        <v>8</v>
      </c>
      <c r="G119" s="11" t="s">
        <v>8</v>
      </c>
      <c r="H119" s="11" t="s">
        <v>27</v>
      </c>
      <c r="I119" s="11" t="s">
        <v>27</v>
      </c>
      <c r="J119" s="11" t="s">
        <v>27</v>
      </c>
      <c r="K119" s="11" t="s">
        <v>27</v>
      </c>
      <c r="L119" s="8" cm="1">
        <f t="array" ref="L119">SUMPRODUCT(IFERROR(TIMEVALUE(RIGHT(#REF!,5))-TIMEVALUE(LEFT(#REF!,5)),0))</f>
        <v>0</v>
      </c>
      <c r="M119" s="3" cm="1">
        <f t="array" ref="M119">SUMPRODUCT(IFERROR(TIMEVALUE(RIGHT(E119:K119,5))-TIMEVALUE(LEFT(E119:K119,5)),0))</f>
        <v>1.7708333333333335</v>
      </c>
    </row>
    <row r="120" spans="1:13">
      <c r="A120" s="10" t="s">
        <v>163</v>
      </c>
      <c r="B120" s="11"/>
      <c r="C120" s="11"/>
      <c r="D120" s="10"/>
      <c r="E120" s="11" t="s">
        <v>8</v>
      </c>
      <c r="F120" s="11" t="s">
        <v>22</v>
      </c>
      <c r="G120" s="11" t="s">
        <v>22</v>
      </c>
      <c r="H120" s="11" t="s">
        <v>22</v>
      </c>
      <c r="I120" s="11" t="s">
        <v>22</v>
      </c>
      <c r="J120" s="11" t="s">
        <v>22</v>
      </c>
      <c r="K120" s="11" t="s">
        <v>8</v>
      </c>
      <c r="L120" s="8" cm="1">
        <f t="array" ref="L120">SUMPRODUCT(IFERROR(TIMEVALUE(RIGHT(#REF!,5))-TIMEVALUE(LEFT(#REF!,5)),0))</f>
        <v>0</v>
      </c>
      <c r="M120" s="3" cm="1">
        <f t="array" ref="M120">SUMPRODUCT(IFERROR(TIMEVALUE(RIGHT(E120:K120,5))-TIMEVALUE(LEFT(E120:K120,5)),0))</f>
        <v>1.7708333333333335</v>
      </c>
    </row>
    <row r="121" spans="1:13">
      <c r="A121" s="10" t="s">
        <v>164</v>
      </c>
      <c r="B121" s="11"/>
      <c r="C121" s="11"/>
      <c r="D121" s="10"/>
      <c r="E121" s="11" t="s">
        <v>12</v>
      </c>
      <c r="F121" s="11" t="s">
        <v>12</v>
      </c>
      <c r="G121" s="11" t="s">
        <v>12</v>
      </c>
      <c r="H121" s="11" t="s">
        <v>8</v>
      </c>
      <c r="I121" s="11" t="s">
        <v>8</v>
      </c>
      <c r="J121" s="11" t="s">
        <v>12</v>
      </c>
      <c r="K121" s="11" t="s">
        <v>12</v>
      </c>
      <c r="L121" s="8" cm="1">
        <f t="array" ref="L121">SUMPRODUCT(IFERROR(TIMEVALUE(RIGHT(#REF!,5))-TIMEVALUE(LEFT(#REF!,5)),0))</f>
        <v>0</v>
      </c>
      <c r="M121" s="3" cm="1">
        <f t="array" ref="M121">SUMPRODUCT(IFERROR(TIMEVALUE(RIGHT(E121:K121,5))-TIMEVALUE(LEFT(E121:K121,5)),0))</f>
        <v>1.770833333333333</v>
      </c>
    </row>
    <row r="122" spans="1:13">
      <c r="A122" s="10" t="s">
        <v>165</v>
      </c>
      <c r="B122" s="11"/>
      <c r="C122" s="11"/>
      <c r="D122" s="10"/>
      <c r="E122" s="11" t="s">
        <v>12</v>
      </c>
      <c r="F122" s="11" t="s">
        <v>12</v>
      </c>
      <c r="G122" s="11" t="s">
        <v>12</v>
      </c>
      <c r="H122" s="11" t="s">
        <v>12</v>
      </c>
      <c r="I122" s="11" t="s">
        <v>12</v>
      </c>
      <c r="J122" s="11" t="s">
        <v>8</v>
      </c>
      <c r="K122" s="11" t="s">
        <v>8</v>
      </c>
      <c r="L122" s="8" cm="1">
        <f t="array" ref="L122">SUMPRODUCT(IFERROR(TIMEVALUE(RIGHT(#REF!,5))-TIMEVALUE(LEFT(#REF!,5)),0))</f>
        <v>0</v>
      </c>
      <c r="M122" s="3" cm="1">
        <f t="array" ref="M122">SUMPRODUCT(IFERROR(TIMEVALUE(RIGHT(E122:K122,5))-TIMEVALUE(LEFT(E122:K122,5)),0))</f>
        <v>1.770833333333333</v>
      </c>
    </row>
    <row r="123" spans="1:13">
      <c r="A123" s="10" t="s">
        <v>166</v>
      </c>
      <c r="B123" s="11"/>
      <c r="C123" s="11"/>
      <c r="D123" s="10"/>
      <c r="E123" s="11" t="s">
        <v>12</v>
      </c>
      <c r="F123" s="11" t="s">
        <v>8</v>
      </c>
      <c r="G123" s="11" t="s">
        <v>8</v>
      </c>
      <c r="H123" s="11" t="s">
        <v>12</v>
      </c>
      <c r="I123" s="11" t="s">
        <v>12</v>
      </c>
      <c r="J123" s="11" t="s">
        <v>12</v>
      </c>
      <c r="K123" s="11" t="s">
        <v>12</v>
      </c>
      <c r="L123" s="8" cm="1">
        <f t="array" ref="L123">SUMPRODUCT(IFERROR(TIMEVALUE(RIGHT(#REF!,5))-TIMEVALUE(LEFT(#REF!,5)),0))</f>
        <v>0</v>
      </c>
      <c r="M123" s="3" cm="1">
        <f t="array" ref="M123">SUMPRODUCT(IFERROR(TIMEVALUE(RIGHT(E123:K123,5))-TIMEVALUE(LEFT(E123:K123,5)),0))</f>
        <v>1.770833333333333</v>
      </c>
    </row>
    <row r="124" spans="1:13">
      <c r="A124" s="10" t="s">
        <v>167</v>
      </c>
      <c r="B124" s="11"/>
      <c r="C124" s="11"/>
      <c r="D124" s="10"/>
      <c r="E124" s="11" t="s">
        <v>12</v>
      </c>
      <c r="F124" s="11" t="s">
        <v>12</v>
      </c>
      <c r="G124" s="11" t="s">
        <v>12</v>
      </c>
      <c r="H124" s="11" t="s">
        <v>12</v>
      </c>
      <c r="I124" s="11" t="s">
        <v>12</v>
      </c>
      <c r="J124" s="11" t="s">
        <v>8</v>
      </c>
      <c r="K124" s="11" t="s">
        <v>8</v>
      </c>
      <c r="L124" s="8" cm="1">
        <f t="array" ref="L124">SUMPRODUCT(IFERROR(TIMEVALUE(RIGHT(#REF!,5))-TIMEVALUE(LEFT(#REF!,5)),0))</f>
        <v>0</v>
      </c>
      <c r="M124" s="3" cm="1">
        <f t="array" ref="M124">SUMPRODUCT(IFERROR(TIMEVALUE(RIGHT(E124:K124,5))-TIMEVALUE(LEFT(E124:K124,5)),0))</f>
        <v>1.770833333333333</v>
      </c>
    </row>
    <row r="125" spans="1:13">
      <c r="A125" s="10" t="s">
        <v>168</v>
      </c>
      <c r="B125" s="11"/>
      <c r="C125" s="11"/>
      <c r="D125" s="10"/>
      <c r="E125" s="11" t="s">
        <v>12</v>
      </c>
      <c r="F125" s="11" t="s">
        <v>8</v>
      </c>
      <c r="G125" s="11" t="s">
        <v>8</v>
      </c>
      <c r="H125" s="11" t="s">
        <v>12</v>
      </c>
      <c r="I125" s="11" t="s">
        <v>12</v>
      </c>
      <c r="J125" s="11" t="s">
        <v>12</v>
      </c>
      <c r="K125" s="11" t="s">
        <v>12</v>
      </c>
      <c r="L125" s="8" cm="1">
        <f t="array" ref="L125">SUMPRODUCT(IFERROR(TIMEVALUE(RIGHT(#REF!,5))-TIMEVALUE(LEFT(#REF!,5)),0))</f>
        <v>0</v>
      </c>
      <c r="M125" s="3" cm="1">
        <f t="array" ref="M125">SUMPRODUCT(IFERROR(TIMEVALUE(RIGHT(E125:K125,5))-TIMEVALUE(LEFT(E125:K125,5)),0))</f>
        <v>1.770833333333333</v>
      </c>
    </row>
    <row r="126" spans="1:13">
      <c r="A126" s="10" t="s">
        <v>169</v>
      </c>
      <c r="B126" s="11"/>
      <c r="C126" s="11"/>
      <c r="D126" s="10"/>
      <c r="E126" s="11" t="s">
        <v>8</v>
      </c>
      <c r="F126" s="11" t="s">
        <v>12</v>
      </c>
      <c r="G126" s="11" t="s">
        <v>12</v>
      </c>
      <c r="H126" s="11" t="s">
        <v>12</v>
      </c>
      <c r="I126" s="11" t="s">
        <v>12</v>
      </c>
      <c r="J126" s="11" t="s">
        <v>12</v>
      </c>
      <c r="K126" s="11" t="s">
        <v>8</v>
      </c>
      <c r="L126" s="8" cm="1">
        <f t="array" ref="L126">SUMPRODUCT(IFERROR(TIMEVALUE(RIGHT(#REF!,5))-TIMEVALUE(LEFT(#REF!,5)),0))</f>
        <v>0</v>
      </c>
      <c r="M126" s="3" cm="1">
        <f t="array" ref="M126">SUMPRODUCT(IFERROR(TIMEVALUE(RIGHT(E126:K126,5))-TIMEVALUE(LEFT(E126:K126,5)),0))</f>
        <v>1.770833333333333</v>
      </c>
    </row>
    <row r="127" spans="1:13">
      <c r="A127" s="10" t="s">
        <v>170</v>
      </c>
      <c r="B127" s="11"/>
      <c r="C127" s="11"/>
      <c r="D127" s="10"/>
      <c r="E127" s="11" t="s">
        <v>12</v>
      </c>
      <c r="F127" s="11" t="s">
        <v>12</v>
      </c>
      <c r="G127" s="11" t="s">
        <v>12</v>
      </c>
      <c r="H127" s="11" t="s">
        <v>12</v>
      </c>
      <c r="I127" s="11" t="s">
        <v>8</v>
      </c>
      <c r="J127" s="11" t="s">
        <v>8</v>
      </c>
      <c r="K127" s="11" t="s">
        <v>12</v>
      </c>
      <c r="L127" s="8" cm="1">
        <f t="array" ref="L127">SUMPRODUCT(IFERROR(TIMEVALUE(RIGHT(#REF!,5))-TIMEVALUE(LEFT(#REF!,5)),0))</f>
        <v>0</v>
      </c>
      <c r="M127" s="3" cm="1">
        <f t="array" ref="M127">SUMPRODUCT(IFERROR(TIMEVALUE(RIGHT(E127:K127,5))-TIMEVALUE(LEFT(E127:K127,5)),0))</f>
        <v>1.770833333333333</v>
      </c>
    </row>
    <row r="128" spans="1:13">
      <c r="A128" s="10" t="s">
        <v>171</v>
      </c>
      <c r="B128" s="11"/>
      <c r="C128" s="11"/>
      <c r="D128" s="10"/>
      <c r="E128" s="11" t="s">
        <v>8</v>
      </c>
      <c r="F128" s="11" t="s">
        <v>75</v>
      </c>
      <c r="G128" s="11" t="s">
        <v>75</v>
      </c>
      <c r="H128" s="11" t="s">
        <v>12</v>
      </c>
      <c r="I128" s="11" t="s">
        <v>12</v>
      </c>
      <c r="J128" s="11" t="s">
        <v>12</v>
      </c>
      <c r="K128" s="11" t="s">
        <v>8</v>
      </c>
      <c r="L128" s="8" cm="1">
        <f t="array" ref="L128">SUMPRODUCT(IFERROR(TIMEVALUE(RIGHT(#REF!,5))-TIMEVALUE(LEFT(#REF!,5)),0))</f>
        <v>0</v>
      </c>
      <c r="M128" s="3" cm="1">
        <f t="array" ref="M128">SUMPRODUCT(IFERROR(TIMEVALUE(RIGHT(E128:K128,5))-TIMEVALUE(LEFT(E128:K128,5)),0))</f>
        <v>1.0625</v>
      </c>
    </row>
    <row r="129" spans="1:13">
      <c r="A129" s="10" t="s">
        <v>172</v>
      </c>
      <c r="B129" s="11"/>
      <c r="C129" s="11"/>
      <c r="D129" s="10"/>
      <c r="E129" s="11" t="s">
        <v>12</v>
      </c>
      <c r="F129" s="11" t="s">
        <v>12</v>
      </c>
      <c r="G129" s="11" t="s">
        <v>12</v>
      </c>
      <c r="H129" s="11" t="s">
        <v>12</v>
      </c>
      <c r="I129" s="11" t="s">
        <v>12</v>
      </c>
      <c r="J129" s="11" t="s">
        <v>8</v>
      </c>
      <c r="K129" s="11" t="s">
        <v>8</v>
      </c>
      <c r="L129" s="8" cm="1">
        <f t="array" ref="L129">SUMPRODUCT(IFERROR(TIMEVALUE(RIGHT(#REF!,5))-TIMEVALUE(LEFT(#REF!,5)),0))</f>
        <v>0</v>
      </c>
      <c r="M129" s="3" cm="1">
        <f t="array" ref="M129">SUMPRODUCT(IFERROR(TIMEVALUE(RIGHT(E129:K129,5))-TIMEVALUE(LEFT(E129:K129,5)),0))</f>
        <v>1.770833333333333</v>
      </c>
    </row>
    <row r="130" spans="1:13">
      <c r="A130" s="10" t="s">
        <v>173</v>
      </c>
      <c r="B130" s="11"/>
      <c r="C130" s="11"/>
      <c r="D130" s="10"/>
      <c r="E130" s="11" t="s">
        <v>12</v>
      </c>
      <c r="F130" s="11" t="s">
        <v>8</v>
      </c>
      <c r="G130" s="11" t="s">
        <v>8</v>
      </c>
      <c r="H130" s="11" t="s">
        <v>12</v>
      </c>
      <c r="I130" s="11" t="s">
        <v>12</v>
      </c>
      <c r="J130" s="11" t="s">
        <v>12</v>
      </c>
      <c r="K130" s="11" t="s">
        <v>12</v>
      </c>
      <c r="L130" s="8" cm="1">
        <f t="array" ref="L130">SUMPRODUCT(IFERROR(TIMEVALUE(RIGHT(#REF!,5))-TIMEVALUE(LEFT(#REF!,5)),0))</f>
        <v>0</v>
      </c>
      <c r="M130" s="3" cm="1">
        <f t="array" ref="M130">SUMPRODUCT(IFERROR(TIMEVALUE(RIGHT(E130:K130,5))-TIMEVALUE(LEFT(E130:K130,5)),0))</f>
        <v>1.770833333333333</v>
      </c>
    </row>
    <row r="131" spans="1:13">
      <c r="A131" s="10" t="s">
        <v>174</v>
      </c>
      <c r="B131" s="11"/>
      <c r="C131" s="11"/>
      <c r="D131" s="10"/>
      <c r="E131" s="11" t="s">
        <v>12</v>
      </c>
      <c r="F131" s="11" t="s">
        <v>12</v>
      </c>
      <c r="G131" s="11" t="s">
        <v>8</v>
      </c>
      <c r="H131" s="11" t="s">
        <v>8</v>
      </c>
      <c r="I131" s="11" t="s">
        <v>12</v>
      </c>
      <c r="J131" s="11" t="s">
        <v>12</v>
      </c>
      <c r="K131" s="11" t="s">
        <v>12</v>
      </c>
      <c r="L131" s="8" cm="1">
        <f t="array" ref="L131">SUMPRODUCT(IFERROR(TIMEVALUE(RIGHT(#REF!,5))-TIMEVALUE(LEFT(#REF!,5)),0))</f>
        <v>0</v>
      </c>
      <c r="M131" s="3" cm="1">
        <f t="array" ref="M131">SUMPRODUCT(IFERROR(TIMEVALUE(RIGHT(E131:K131,5))-TIMEVALUE(LEFT(E131:K131,5)),0))</f>
        <v>1.770833333333333</v>
      </c>
    </row>
    <row r="132" spans="1:13">
      <c r="A132" s="10" t="s">
        <v>175</v>
      </c>
      <c r="B132" s="11"/>
      <c r="C132" s="11"/>
      <c r="D132" s="10"/>
      <c r="E132" s="11" t="s">
        <v>7</v>
      </c>
      <c r="F132" s="11" t="s">
        <v>7</v>
      </c>
      <c r="G132" s="11" t="s">
        <v>7</v>
      </c>
      <c r="H132" s="11" t="s">
        <v>7</v>
      </c>
      <c r="I132" s="11" t="s">
        <v>8</v>
      </c>
      <c r="J132" s="11" t="s">
        <v>7</v>
      </c>
      <c r="K132" s="11" t="s">
        <v>8</v>
      </c>
      <c r="L132" s="8" cm="1">
        <f t="array" ref="L132">SUMPRODUCT(IFERROR(TIMEVALUE(RIGHT(#REF!,5))-TIMEVALUE(LEFT(#REF!,5)),0))</f>
        <v>0</v>
      </c>
      <c r="M132" s="3" cm="1">
        <f t="array" ref="M132">SUMPRODUCT(IFERROR(TIMEVALUE(RIGHT(E132:K132,5))-TIMEVALUE(LEFT(E132:K132,5)),0))</f>
        <v>1.7708333333333335</v>
      </c>
    </row>
    <row r="133" spans="1:13">
      <c r="A133" s="10" t="s">
        <v>176</v>
      </c>
      <c r="B133" s="11"/>
      <c r="C133" s="11"/>
      <c r="D133" s="10"/>
      <c r="E133" s="11" t="s">
        <v>8</v>
      </c>
      <c r="F133" s="11" t="s">
        <v>7</v>
      </c>
      <c r="G133" s="11" t="s">
        <v>7</v>
      </c>
      <c r="H133" s="11" t="s">
        <v>7</v>
      </c>
      <c r="I133" s="11" t="s">
        <v>7</v>
      </c>
      <c r="J133" s="11" t="s">
        <v>7</v>
      </c>
      <c r="K133" s="11" t="s">
        <v>8</v>
      </c>
      <c r="L133" s="8" cm="1">
        <f t="array" ref="L133">SUMPRODUCT(IFERROR(TIMEVALUE(RIGHT(#REF!,5))-TIMEVALUE(LEFT(#REF!,5)),0))</f>
        <v>0</v>
      </c>
      <c r="M133" s="3" cm="1">
        <f t="array" ref="M133">SUMPRODUCT(IFERROR(TIMEVALUE(RIGHT(E133:K133,5))-TIMEVALUE(LEFT(E133:K133,5)),0))</f>
        <v>1.7708333333333335</v>
      </c>
    </row>
    <row r="134" spans="1:13">
      <c r="A134" s="10" t="s">
        <v>177</v>
      </c>
      <c r="B134" s="11"/>
      <c r="C134" s="11"/>
      <c r="D134" s="10"/>
      <c r="E134" s="11" t="s">
        <v>8</v>
      </c>
      <c r="F134" s="11" t="s">
        <v>7</v>
      </c>
      <c r="G134" s="11" t="s">
        <v>7</v>
      </c>
      <c r="H134" s="11" t="s">
        <v>7</v>
      </c>
      <c r="I134" s="11" t="s">
        <v>7</v>
      </c>
      <c r="J134" s="11" t="s">
        <v>7</v>
      </c>
      <c r="K134" s="11" t="s">
        <v>8</v>
      </c>
      <c r="L134" s="8" cm="1">
        <f t="array" ref="L134">SUMPRODUCT(IFERROR(TIMEVALUE(RIGHT(#REF!,5))-TIMEVALUE(LEFT(#REF!,5)),0))</f>
        <v>0</v>
      </c>
      <c r="M134" s="3" cm="1">
        <f t="array" ref="M134">SUMPRODUCT(IFERROR(TIMEVALUE(RIGHT(E134:K134,5))-TIMEVALUE(LEFT(E134:K134,5)),0))</f>
        <v>1.7708333333333335</v>
      </c>
    </row>
    <row r="135" spans="1:13">
      <c r="A135" s="10" t="s">
        <v>178</v>
      </c>
      <c r="B135" s="11"/>
      <c r="C135" s="11"/>
      <c r="D135" s="10"/>
      <c r="E135" s="11" t="s">
        <v>7</v>
      </c>
      <c r="F135" s="11" t="s">
        <v>7</v>
      </c>
      <c r="G135" s="11" t="s">
        <v>8</v>
      </c>
      <c r="H135" s="11" t="s">
        <v>8</v>
      </c>
      <c r="I135" s="11" t="s">
        <v>7</v>
      </c>
      <c r="J135" s="11" t="s">
        <v>7</v>
      </c>
      <c r="K135" s="11" t="s">
        <v>7</v>
      </c>
      <c r="L135" s="8" cm="1">
        <f t="array" ref="L135">SUMPRODUCT(IFERROR(TIMEVALUE(RIGHT(#REF!,5))-TIMEVALUE(LEFT(#REF!,5)),0))</f>
        <v>0</v>
      </c>
      <c r="M135" s="3" cm="1">
        <f t="array" ref="M135">SUMPRODUCT(IFERROR(TIMEVALUE(RIGHT(E135:K135,5))-TIMEVALUE(LEFT(E135:K135,5)),0))</f>
        <v>1.7708333333333335</v>
      </c>
    </row>
    <row r="136" spans="1:13">
      <c r="A136" s="10" t="s">
        <v>179</v>
      </c>
      <c r="B136" s="11"/>
      <c r="C136" s="11"/>
      <c r="D136" s="10"/>
      <c r="E136" s="11" t="s">
        <v>7</v>
      </c>
      <c r="F136" s="11" t="s">
        <v>7</v>
      </c>
      <c r="G136" s="11" t="s">
        <v>7</v>
      </c>
      <c r="H136" s="11" t="s">
        <v>7</v>
      </c>
      <c r="I136" s="11" t="s">
        <v>7</v>
      </c>
      <c r="J136" s="11" t="s">
        <v>8</v>
      </c>
      <c r="K136" s="11" t="s">
        <v>8</v>
      </c>
      <c r="L136" s="8" cm="1">
        <f t="array" ref="L136">SUMPRODUCT(IFERROR(TIMEVALUE(RIGHT(#REF!,5))-TIMEVALUE(LEFT(#REF!,5)),0))</f>
        <v>0</v>
      </c>
      <c r="M136" s="3" cm="1">
        <f t="array" ref="M136">SUMPRODUCT(IFERROR(TIMEVALUE(RIGHT(E136:K136,5))-TIMEVALUE(LEFT(E136:K136,5)),0))</f>
        <v>1.7708333333333335</v>
      </c>
    </row>
    <row r="137" spans="1:13">
      <c r="A137" s="10" t="s">
        <v>180</v>
      </c>
      <c r="B137" s="11"/>
      <c r="C137" s="11"/>
      <c r="D137" s="10"/>
      <c r="E137" s="11" t="s">
        <v>8</v>
      </c>
      <c r="F137" s="11" t="s">
        <v>7</v>
      </c>
      <c r="G137" s="11" t="s">
        <v>7</v>
      </c>
      <c r="H137" s="11" t="s">
        <v>7</v>
      </c>
      <c r="I137" s="11" t="s">
        <v>7</v>
      </c>
      <c r="J137" s="11" t="s">
        <v>7</v>
      </c>
      <c r="K137" s="11" t="s">
        <v>8</v>
      </c>
      <c r="L137" s="8" cm="1">
        <f t="array" ref="L137">SUMPRODUCT(IFERROR(TIMEVALUE(RIGHT(#REF!,5))-TIMEVALUE(LEFT(#REF!,5)),0))</f>
        <v>0</v>
      </c>
      <c r="M137" s="3" cm="1">
        <f t="array" ref="M137">SUMPRODUCT(IFERROR(TIMEVALUE(RIGHT(E137:K137,5))-TIMEVALUE(LEFT(E137:K137,5)),0))</f>
        <v>1.7708333333333335</v>
      </c>
    </row>
    <row r="138" spans="1:13">
      <c r="A138" s="10" t="s">
        <v>181</v>
      </c>
      <c r="B138" s="11"/>
      <c r="C138" s="11"/>
      <c r="D138" s="10"/>
      <c r="E138" s="11" t="s">
        <v>8</v>
      </c>
      <c r="F138" s="11" t="s">
        <v>7</v>
      </c>
      <c r="G138" s="11" t="s">
        <v>7</v>
      </c>
      <c r="H138" s="11" t="s">
        <v>7</v>
      </c>
      <c r="I138" s="11" t="s">
        <v>7</v>
      </c>
      <c r="J138" s="11" t="s">
        <v>7</v>
      </c>
      <c r="K138" s="11" t="s">
        <v>8</v>
      </c>
      <c r="L138" s="8" cm="1">
        <f t="array" ref="L138">SUMPRODUCT(IFERROR(TIMEVALUE(RIGHT(#REF!,5))-TIMEVALUE(LEFT(#REF!,5)),0))</f>
        <v>0</v>
      </c>
      <c r="M138" s="3" cm="1">
        <f t="array" ref="M138">SUMPRODUCT(IFERROR(TIMEVALUE(RIGHT(E138:K138,5))-TIMEVALUE(LEFT(E138:K138,5)),0))</f>
        <v>1.7708333333333335</v>
      </c>
    </row>
    <row r="139" spans="1:13">
      <c r="A139" s="10" t="s">
        <v>182</v>
      </c>
      <c r="B139" s="11"/>
      <c r="C139" s="11"/>
      <c r="D139" s="10"/>
      <c r="E139" s="11" t="s">
        <v>7</v>
      </c>
      <c r="F139" s="11" t="s">
        <v>7</v>
      </c>
      <c r="G139" s="11" t="s">
        <v>7</v>
      </c>
      <c r="H139" s="11" t="s">
        <v>7</v>
      </c>
      <c r="I139" s="11" t="s">
        <v>8</v>
      </c>
      <c r="J139" s="11" t="s">
        <v>8</v>
      </c>
      <c r="K139" s="11" t="s">
        <v>7</v>
      </c>
      <c r="L139" s="8" cm="1">
        <f t="array" ref="L139">SUMPRODUCT(IFERROR(TIMEVALUE(RIGHT(#REF!,5))-TIMEVALUE(LEFT(#REF!,5)),0))</f>
        <v>0</v>
      </c>
      <c r="M139" s="3" cm="1">
        <f t="array" ref="M139">SUMPRODUCT(IFERROR(TIMEVALUE(RIGHT(E139:K139,5))-TIMEVALUE(LEFT(E139:K139,5)),0))</f>
        <v>1.7708333333333335</v>
      </c>
    </row>
    <row r="140" spans="1:13">
      <c r="A140" s="10" t="s">
        <v>183</v>
      </c>
      <c r="B140" s="11"/>
      <c r="C140" s="11"/>
      <c r="D140" s="10"/>
      <c r="E140" s="11" t="s">
        <v>7</v>
      </c>
      <c r="F140" s="11" t="s">
        <v>7</v>
      </c>
      <c r="G140" s="11" t="s">
        <v>7</v>
      </c>
      <c r="H140" s="11" t="s">
        <v>7</v>
      </c>
      <c r="I140" s="11" t="s">
        <v>7</v>
      </c>
      <c r="J140" s="11" t="s">
        <v>8</v>
      </c>
      <c r="K140" s="11" t="s">
        <v>8</v>
      </c>
      <c r="L140" s="8" cm="1">
        <f t="array" ref="L140">SUMPRODUCT(IFERROR(TIMEVALUE(RIGHT(#REF!,5))-TIMEVALUE(LEFT(#REF!,5)),0))</f>
        <v>0</v>
      </c>
      <c r="M140" s="3" cm="1">
        <f t="array" ref="M140">SUMPRODUCT(IFERROR(TIMEVALUE(RIGHT(E140:K140,5))-TIMEVALUE(LEFT(E140:K140,5)),0))</f>
        <v>1.7708333333333335</v>
      </c>
    </row>
    <row r="141" spans="1:13">
      <c r="A141" s="10" t="s">
        <v>184</v>
      </c>
      <c r="B141" s="11"/>
      <c r="C141" s="11"/>
      <c r="D141" s="10"/>
      <c r="E141" s="11" t="s">
        <v>7</v>
      </c>
      <c r="F141" s="11" t="s">
        <v>7</v>
      </c>
      <c r="G141" s="11" t="s">
        <v>7</v>
      </c>
      <c r="H141" s="11" t="s">
        <v>7</v>
      </c>
      <c r="I141" s="11" t="s">
        <v>7</v>
      </c>
      <c r="J141" s="11" t="s">
        <v>8</v>
      </c>
      <c r="K141" s="11" t="s">
        <v>8</v>
      </c>
      <c r="L141" s="8" cm="1">
        <f t="array" ref="L141">SUMPRODUCT(IFERROR(TIMEVALUE(RIGHT(#REF!,5))-TIMEVALUE(LEFT(#REF!,5)),0))</f>
        <v>0</v>
      </c>
      <c r="M141" s="3" cm="1">
        <f t="array" ref="M141">SUMPRODUCT(IFERROR(TIMEVALUE(RIGHT(E141:K141,5))-TIMEVALUE(LEFT(E141:K141,5)),0))</f>
        <v>1.7708333333333335</v>
      </c>
    </row>
    <row r="142" spans="1:13">
      <c r="A142" s="10" t="s">
        <v>185</v>
      </c>
      <c r="B142" s="11"/>
      <c r="C142" s="11"/>
      <c r="D142" s="10"/>
      <c r="E142" s="11" t="s">
        <v>7</v>
      </c>
      <c r="F142" s="11" t="s">
        <v>8</v>
      </c>
      <c r="G142" s="11" t="s">
        <v>8</v>
      </c>
      <c r="H142" s="11" t="s">
        <v>7</v>
      </c>
      <c r="I142" s="11" t="s">
        <v>7</v>
      </c>
      <c r="J142" s="11" t="s">
        <v>7</v>
      </c>
      <c r="K142" s="11" t="s">
        <v>7</v>
      </c>
      <c r="L142" s="8" cm="1">
        <f t="array" ref="L142">SUMPRODUCT(IFERROR(TIMEVALUE(RIGHT(#REF!,5))-TIMEVALUE(LEFT(#REF!,5)),0))</f>
        <v>0</v>
      </c>
      <c r="M142" s="3" cm="1">
        <f t="array" ref="M142">SUMPRODUCT(IFERROR(TIMEVALUE(RIGHT(E142:K142,5))-TIMEVALUE(LEFT(E142:K142,5)),0))</f>
        <v>1.7708333333333335</v>
      </c>
    </row>
    <row r="143" spans="1:13">
      <c r="A143" s="10" t="s">
        <v>186</v>
      </c>
      <c r="B143" s="11"/>
      <c r="C143" s="11"/>
      <c r="D143" s="10"/>
      <c r="E143" s="11" t="s">
        <v>27</v>
      </c>
      <c r="F143" s="11" t="s">
        <v>8</v>
      </c>
      <c r="G143" s="11" t="s">
        <v>8</v>
      </c>
      <c r="H143" s="11" t="s">
        <v>27</v>
      </c>
      <c r="I143" s="11" t="s">
        <v>27</v>
      </c>
      <c r="J143" s="11" t="s">
        <v>27</v>
      </c>
      <c r="K143" s="11" t="s">
        <v>27</v>
      </c>
      <c r="L143" s="8" cm="1">
        <f t="array" ref="L143">SUMPRODUCT(IFERROR(TIMEVALUE(RIGHT(#REF!,5))-TIMEVALUE(LEFT(#REF!,5)),0))</f>
        <v>0</v>
      </c>
      <c r="M143" s="3" cm="1">
        <f t="array" ref="M143">SUMPRODUCT(IFERROR(TIMEVALUE(RIGHT(E143:K143,5))-TIMEVALUE(LEFT(E143:K143,5)),0))</f>
        <v>1.7708333333333335</v>
      </c>
    </row>
    <row r="144" spans="1:13">
      <c r="A144" s="10" t="s">
        <v>187</v>
      </c>
      <c r="B144" s="11"/>
      <c r="C144" s="11"/>
      <c r="D144" s="10"/>
      <c r="E144" s="11" t="s">
        <v>27</v>
      </c>
      <c r="F144" s="11" t="s">
        <v>27</v>
      </c>
      <c r="G144" s="11" t="s">
        <v>27</v>
      </c>
      <c r="H144" s="11" t="s">
        <v>27</v>
      </c>
      <c r="I144" s="11" t="s">
        <v>8</v>
      </c>
      <c r="J144" s="11" t="s">
        <v>8</v>
      </c>
      <c r="K144" s="11" t="s">
        <v>27</v>
      </c>
      <c r="L144" s="8" cm="1">
        <f t="array" ref="L144">SUMPRODUCT(IFERROR(TIMEVALUE(RIGHT(#REF!,5))-TIMEVALUE(LEFT(#REF!,5)),0))</f>
        <v>0</v>
      </c>
      <c r="M144" s="3" cm="1">
        <f t="array" ref="M144">SUMPRODUCT(IFERROR(TIMEVALUE(RIGHT(E144:K144,5))-TIMEVALUE(LEFT(E144:K144,5)),0))</f>
        <v>1.7708333333333335</v>
      </c>
    </row>
    <row r="145" spans="1:38">
      <c r="A145" s="10" t="s">
        <v>188</v>
      </c>
      <c r="B145" s="11"/>
      <c r="C145" s="11"/>
      <c r="D145" s="10"/>
      <c r="E145" s="11" t="s">
        <v>27</v>
      </c>
      <c r="F145" s="11" t="s">
        <v>27</v>
      </c>
      <c r="G145" s="11" t="s">
        <v>27</v>
      </c>
      <c r="H145" s="11" t="s">
        <v>27</v>
      </c>
      <c r="I145" s="11" t="s">
        <v>8</v>
      </c>
      <c r="J145" s="11" t="s">
        <v>8</v>
      </c>
      <c r="K145" s="11" t="s">
        <v>27</v>
      </c>
      <c r="L145" s="8" cm="1">
        <f t="array" ref="L145">SUMPRODUCT(IFERROR(TIMEVALUE(RIGHT(#REF!,5))-TIMEVALUE(LEFT(#REF!,5)),0))</f>
        <v>0</v>
      </c>
      <c r="M145" s="3" cm="1">
        <f t="array" ref="M145">SUMPRODUCT(IFERROR(TIMEVALUE(RIGHT(E145:K145,5))-TIMEVALUE(LEFT(E145:K145,5)),0))</f>
        <v>1.7708333333333335</v>
      </c>
    </row>
    <row r="146" spans="1:38">
      <c r="A146" s="10" t="s">
        <v>189</v>
      </c>
      <c r="B146" s="11"/>
      <c r="C146" s="11"/>
      <c r="D146" s="10"/>
      <c r="E146" s="11" t="s">
        <v>8</v>
      </c>
      <c r="F146" s="11" t="s">
        <v>12</v>
      </c>
      <c r="G146" s="11" t="s">
        <v>12</v>
      </c>
      <c r="H146" s="11" t="s">
        <v>12</v>
      </c>
      <c r="I146" s="11" t="s">
        <v>12</v>
      </c>
      <c r="J146" s="11" t="s">
        <v>12</v>
      </c>
      <c r="K146" s="11" t="s">
        <v>8</v>
      </c>
      <c r="L146" s="8" cm="1">
        <f t="array" ref="L146">SUMPRODUCT(IFERROR(TIMEVALUE(RIGHT(#REF!,5))-TIMEVALUE(LEFT(#REF!,5)),0))</f>
        <v>0</v>
      </c>
      <c r="M146" s="3" cm="1">
        <f t="array" ref="M146">SUMPRODUCT(IFERROR(TIMEVALUE(RIGHT(E146:K146,5))-TIMEVALUE(LEFT(E146:K146,5)),0))</f>
        <v>1.770833333333333</v>
      </c>
    </row>
    <row r="147" spans="1:38">
      <c r="A147" s="10" t="s">
        <v>190</v>
      </c>
      <c r="B147" s="11"/>
      <c r="C147" s="11"/>
      <c r="D147" s="10"/>
      <c r="E147" s="11" t="s">
        <v>8</v>
      </c>
      <c r="F147" s="11" t="s">
        <v>7</v>
      </c>
      <c r="G147" s="11" t="s">
        <v>7</v>
      </c>
      <c r="H147" s="11" t="s">
        <v>7</v>
      </c>
      <c r="I147" s="11" t="s">
        <v>7</v>
      </c>
      <c r="J147" s="11" t="s">
        <v>7</v>
      </c>
      <c r="K147" s="11" t="s">
        <v>8</v>
      </c>
      <c r="L147" s="8" cm="1">
        <f t="array" ref="L147">SUMPRODUCT(IFERROR(TIMEVALUE(RIGHT(#REF!,5))-TIMEVALUE(LEFT(#REF!,5)),0))</f>
        <v>0</v>
      </c>
      <c r="M147" s="3" cm="1">
        <f t="array" ref="M147">SUMPRODUCT(IFERROR(TIMEVALUE(RIGHT(E147:K147,5))-TIMEVALUE(LEFT(E147:K147,5)),0))</f>
        <v>1.7708333333333335</v>
      </c>
    </row>
    <row r="148" spans="1:38" s="9" customFormat="1">
      <c r="A148" s="10" t="s">
        <v>191</v>
      </c>
      <c r="B148" s="11"/>
      <c r="C148" s="11"/>
      <c r="D148" s="10"/>
      <c r="E148" s="11" t="s">
        <v>8</v>
      </c>
      <c r="F148" s="11" t="s">
        <v>27</v>
      </c>
      <c r="G148" s="11" t="s">
        <v>27</v>
      </c>
      <c r="H148" s="11" t="s">
        <v>27</v>
      </c>
      <c r="I148" s="11" t="s">
        <v>27</v>
      </c>
      <c r="J148" s="11" t="s">
        <v>27</v>
      </c>
      <c r="K148" s="11" t="s">
        <v>8</v>
      </c>
      <c r="L148" s="8" cm="1">
        <f t="array" ref="L148">SUMPRODUCT(IFERROR(TIMEVALUE(RIGHT(#REF!,5))-TIMEVALUE(LEFT(#REF!,5)),0))</f>
        <v>0</v>
      </c>
      <c r="M148" s="3" cm="1">
        <f t="array" ref="M148">SUMPRODUCT(IFERROR(TIMEVALUE(RIGHT(E148:K148,5))-TIMEVALUE(LEFT(E148:K148,5)),0))</f>
        <v>1.7708333333333335</v>
      </c>
      <c r="X148" s="2"/>
      <c r="AF148" s="2"/>
      <c r="AG148" s="2"/>
      <c r="AH148" s="2"/>
      <c r="AI148" s="2"/>
      <c r="AJ148" s="2"/>
      <c r="AK148" s="2"/>
      <c r="AL148" s="2"/>
    </row>
    <row r="149" spans="1:38">
      <c r="A149" s="10" t="s">
        <v>192</v>
      </c>
      <c r="B149" s="11"/>
      <c r="C149" s="11"/>
      <c r="D149" s="10"/>
      <c r="E149" s="11" t="s">
        <v>8</v>
      </c>
      <c r="F149" s="11" t="s">
        <v>27</v>
      </c>
      <c r="G149" s="11" t="s">
        <v>27</v>
      </c>
      <c r="H149" s="11" t="s">
        <v>27</v>
      </c>
      <c r="I149" s="11" t="s">
        <v>27</v>
      </c>
      <c r="J149" s="11" t="s">
        <v>27</v>
      </c>
      <c r="K149" s="11" t="s">
        <v>8</v>
      </c>
      <c r="L149" s="8" cm="1">
        <f t="array" ref="L149">SUMPRODUCT(IFERROR(TIMEVALUE(RIGHT(#REF!,5))-TIMEVALUE(LEFT(#REF!,5)),0))</f>
        <v>0</v>
      </c>
      <c r="M149" s="3" cm="1">
        <f t="array" ref="M149">SUMPRODUCT(IFERROR(TIMEVALUE(RIGHT(E149:K149,5))-TIMEVALUE(LEFT(E149:K149,5)),0))</f>
        <v>1.7708333333333335</v>
      </c>
    </row>
    <row r="150" spans="1:38">
      <c r="A150" s="10" t="s">
        <v>193</v>
      </c>
      <c r="B150" s="11"/>
      <c r="C150" s="11"/>
      <c r="D150" s="10"/>
      <c r="E150" s="11" t="s">
        <v>22</v>
      </c>
      <c r="F150" s="11" t="s">
        <v>22</v>
      </c>
      <c r="G150" s="11" t="s">
        <v>22</v>
      </c>
      <c r="H150" s="11" t="s">
        <v>8</v>
      </c>
      <c r="I150" s="11" t="s">
        <v>8</v>
      </c>
      <c r="J150" s="11" t="s">
        <v>22</v>
      </c>
      <c r="K150" s="11" t="s">
        <v>22</v>
      </c>
      <c r="L150" s="8" cm="1">
        <f t="array" ref="L150">SUMPRODUCT(IFERROR(TIMEVALUE(RIGHT(#REF!,5))-TIMEVALUE(LEFT(#REF!,5)),0))</f>
        <v>0</v>
      </c>
      <c r="M150" s="3" cm="1">
        <f t="array" ref="M150">SUMPRODUCT(IFERROR(TIMEVALUE(RIGHT(E150:K150,5))-TIMEVALUE(LEFT(E150:K150,5)),0))</f>
        <v>1.7708333333333335</v>
      </c>
    </row>
    <row r="151" spans="1:38">
      <c r="A151" s="10" t="s">
        <v>194</v>
      </c>
      <c r="B151" s="11"/>
      <c r="C151" s="11"/>
      <c r="D151" s="10"/>
      <c r="E151" s="11" t="s">
        <v>22</v>
      </c>
      <c r="F151" s="11" t="s">
        <v>8</v>
      </c>
      <c r="G151" s="11" t="s">
        <v>8</v>
      </c>
      <c r="H151" s="11" t="s">
        <v>22</v>
      </c>
      <c r="I151" s="11" t="s">
        <v>22</v>
      </c>
      <c r="J151" s="11" t="s">
        <v>22</v>
      </c>
      <c r="K151" s="11" t="s">
        <v>22</v>
      </c>
      <c r="L151" s="8" cm="1">
        <f t="array" ref="L151">SUMPRODUCT(IFERROR(TIMEVALUE(RIGHT(#REF!,5))-TIMEVALUE(LEFT(#REF!,5)),0))</f>
        <v>0</v>
      </c>
      <c r="M151" s="3" cm="1">
        <f t="array" ref="M151">SUMPRODUCT(IFERROR(TIMEVALUE(RIGHT(E151:K151,5))-TIMEVALUE(LEFT(E151:K151,5)),0))</f>
        <v>1.7708333333333335</v>
      </c>
    </row>
    <row r="152" spans="1:38" s="9" customFormat="1">
      <c r="A152" s="10" t="s">
        <v>195</v>
      </c>
      <c r="B152" s="11"/>
      <c r="C152" s="11"/>
      <c r="D152" s="10"/>
      <c r="E152" s="11" t="s">
        <v>22</v>
      </c>
      <c r="F152" s="11" t="s">
        <v>22</v>
      </c>
      <c r="G152" s="11" t="s">
        <v>22</v>
      </c>
      <c r="H152" s="11" t="s">
        <v>22</v>
      </c>
      <c r="I152" s="11" t="s">
        <v>8</v>
      </c>
      <c r="J152" s="11" t="s">
        <v>8</v>
      </c>
      <c r="K152" s="11" t="s">
        <v>22</v>
      </c>
      <c r="L152" s="8" cm="1">
        <f t="array" ref="L152">SUMPRODUCT(IFERROR(TIMEVALUE(RIGHT(#REF!,5))-TIMEVALUE(LEFT(#REF!,5)),0))</f>
        <v>0</v>
      </c>
      <c r="M152" s="3" cm="1">
        <f t="array" ref="M152">SUMPRODUCT(IFERROR(TIMEVALUE(RIGHT(E152:K152,5))-TIMEVALUE(LEFT(E152:K152,5)),0))</f>
        <v>1.7708333333333335</v>
      </c>
      <c r="X152" s="2"/>
      <c r="AF152" s="2"/>
      <c r="AG152" s="2"/>
      <c r="AH152" s="2"/>
      <c r="AI152" s="2"/>
      <c r="AJ152" s="2"/>
      <c r="AK152" s="2"/>
      <c r="AL152" s="2"/>
    </row>
    <row r="153" spans="1:38">
      <c r="A153" s="10" t="s">
        <v>196</v>
      </c>
      <c r="B153" s="11"/>
      <c r="C153" s="11"/>
      <c r="D153" s="10"/>
      <c r="E153" s="11" t="s">
        <v>22</v>
      </c>
      <c r="F153" s="11" t="s">
        <v>8</v>
      </c>
      <c r="G153" s="11" t="s">
        <v>8</v>
      </c>
      <c r="H153" s="11" t="s">
        <v>22</v>
      </c>
      <c r="I153" s="11" t="s">
        <v>22</v>
      </c>
      <c r="J153" s="11" t="s">
        <v>22</v>
      </c>
      <c r="K153" s="11" t="s">
        <v>22</v>
      </c>
      <c r="L153" s="8" cm="1">
        <f t="array" ref="L153">SUMPRODUCT(IFERROR(TIMEVALUE(RIGHT(#REF!,5))-TIMEVALUE(LEFT(#REF!,5)),0))</f>
        <v>0</v>
      </c>
      <c r="M153" s="3" cm="1">
        <f t="array" ref="M153">SUMPRODUCT(IFERROR(TIMEVALUE(RIGHT(E153:K153,5))-TIMEVALUE(LEFT(E153:K153,5)),0))</f>
        <v>1.7708333333333335</v>
      </c>
    </row>
    <row r="154" spans="1:38">
      <c r="A154" s="10" t="s">
        <v>197</v>
      </c>
      <c r="B154" s="11"/>
      <c r="C154" s="11"/>
      <c r="D154" s="10"/>
      <c r="E154" s="11" t="s">
        <v>22</v>
      </c>
      <c r="F154" s="11" t="s">
        <v>22</v>
      </c>
      <c r="G154" s="11" t="s">
        <v>22</v>
      </c>
      <c r="H154" s="11" t="s">
        <v>22</v>
      </c>
      <c r="I154" s="11" t="s">
        <v>8</v>
      </c>
      <c r="J154" s="11" t="s">
        <v>8</v>
      </c>
      <c r="K154" s="11" t="s">
        <v>22</v>
      </c>
      <c r="L154" s="8" cm="1">
        <f t="array" ref="L154">SUMPRODUCT(IFERROR(TIMEVALUE(RIGHT(#REF!,5))-TIMEVALUE(LEFT(#REF!,5)),0))</f>
        <v>0</v>
      </c>
      <c r="M154" s="3" cm="1">
        <f t="array" ref="M154">SUMPRODUCT(IFERROR(TIMEVALUE(RIGHT(E154:K154,5))-TIMEVALUE(LEFT(E154:K154,5)),0))</f>
        <v>1.7708333333333335</v>
      </c>
    </row>
    <row r="155" spans="1:38">
      <c r="A155" s="10" t="s">
        <v>198</v>
      </c>
      <c r="B155" s="11"/>
      <c r="C155" s="11"/>
      <c r="D155" s="10"/>
      <c r="E155" s="11" t="s">
        <v>22</v>
      </c>
      <c r="F155" s="11" t="s">
        <v>8</v>
      </c>
      <c r="G155" s="11" t="s">
        <v>8</v>
      </c>
      <c r="H155" s="11" t="s">
        <v>22</v>
      </c>
      <c r="I155" s="11" t="s">
        <v>22</v>
      </c>
      <c r="J155" s="11" t="s">
        <v>22</v>
      </c>
      <c r="K155" s="11" t="s">
        <v>22</v>
      </c>
      <c r="L155" s="8" cm="1">
        <f t="array" ref="L155">SUMPRODUCT(IFERROR(TIMEVALUE(RIGHT(#REF!,5))-TIMEVALUE(LEFT(#REF!,5)),0))</f>
        <v>0</v>
      </c>
      <c r="M155" s="3" cm="1">
        <f t="array" ref="M155">SUMPRODUCT(IFERROR(TIMEVALUE(RIGHT(E155:K155,5))-TIMEVALUE(LEFT(E155:K155,5)),0))</f>
        <v>1.7708333333333335</v>
      </c>
    </row>
    <row r="156" spans="1:38">
      <c r="A156" s="10" t="s">
        <v>199</v>
      </c>
      <c r="B156" s="11"/>
      <c r="C156" s="11"/>
      <c r="D156" s="10"/>
      <c r="E156" s="11" t="s">
        <v>22</v>
      </c>
      <c r="F156" s="11" t="s">
        <v>22</v>
      </c>
      <c r="G156" s="11" t="s">
        <v>22</v>
      </c>
      <c r="H156" s="11" t="s">
        <v>8</v>
      </c>
      <c r="I156" s="11" t="s">
        <v>8</v>
      </c>
      <c r="J156" s="11" t="s">
        <v>22</v>
      </c>
      <c r="K156" s="11" t="s">
        <v>22</v>
      </c>
      <c r="L156" s="8" cm="1">
        <f t="array" ref="L156">SUMPRODUCT(IFERROR(TIMEVALUE(RIGHT(#REF!,5))-TIMEVALUE(LEFT(#REF!,5)),0))</f>
        <v>0</v>
      </c>
      <c r="M156" s="3" cm="1">
        <f t="array" ref="M156">SUMPRODUCT(IFERROR(TIMEVALUE(RIGHT(E156:K156,5))-TIMEVALUE(LEFT(E156:K156,5)),0))</f>
        <v>1.7708333333333335</v>
      </c>
    </row>
    <row r="157" spans="1:38">
      <c r="A157" s="10" t="s">
        <v>200</v>
      </c>
      <c r="B157" s="11"/>
      <c r="C157" s="11"/>
      <c r="D157" s="10"/>
      <c r="E157" s="11" t="s">
        <v>8</v>
      </c>
      <c r="F157" s="11" t="s">
        <v>22</v>
      </c>
      <c r="G157" s="11" t="s">
        <v>22</v>
      </c>
      <c r="H157" s="11" t="s">
        <v>22</v>
      </c>
      <c r="I157" s="11" t="s">
        <v>22</v>
      </c>
      <c r="J157" s="11" t="s">
        <v>22</v>
      </c>
      <c r="K157" s="11" t="s">
        <v>8</v>
      </c>
      <c r="L157" s="8" cm="1">
        <f t="array" ref="L157">SUMPRODUCT(IFERROR(TIMEVALUE(RIGHT(#REF!,5))-TIMEVALUE(LEFT(#REF!,5)),0))</f>
        <v>0</v>
      </c>
      <c r="M157" s="3" cm="1">
        <f t="array" ref="M157">SUMPRODUCT(IFERROR(TIMEVALUE(RIGHT(E157:K157,5))-TIMEVALUE(LEFT(E157:K157,5)),0))</f>
        <v>1.7708333333333335</v>
      </c>
    </row>
    <row r="158" spans="1:38">
      <c r="A158" s="10" t="s">
        <v>201</v>
      </c>
      <c r="B158" s="11"/>
      <c r="C158" s="11"/>
      <c r="D158" s="10"/>
      <c r="E158" s="11" t="s">
        <v>22</v>
      </c>
      <c r="F158" s="11" t="s">
        <v>22</v>
      </c>
      <c r="G158" s="11" t="s">
        <v>22</v>
      </c>
      <c r="H158" s="11" t="s">
        <v>8</v>
      </c>
      <c r="I158" s="11" t="s">
        <v>8</v>
      </c>
      <c r="J158" s="11" t="s">
        <v>22</v>
      </c>
      <c r="K158" s="11" t="s">
        <v>22</v>
      </c>
      <c r="L158" s="8" cm="1">
        <f t="array" ref="L158">SUMPRODUCT(IFERROR(TIMEVALUE(RIGHT(#REF!,5))-TIMEVALUE(LEFT(#REF!,5)),0))</f>
        <v>0</v>
      </c>
      <c r="M158" s="3" cm="1">
        <f t="array" ref="M158">SUMPRODUCT(IFERROR(TIMEVALUE(RIGHT(E158:K158,5))-TIMEVALUE(LEFT(E158:K158,5)),0))</f>
        <v>1.7708333333333335</v>
      </c>
    </row>
    <row r="159" spans="1:38">
      <c r="A159" s="10" t="s">
        <v>202</v>
      </c>
      <c r="B159" s="11"/>
      <c r="C159" s="11"/>
      <c r="D159" s="10"/>
      <c r="E159" s="11" t="s">
        <v>22</v>
      </c>
      <c r="F159" s="11" t="s">
        <v>22</v>
      </c>
      <c r="G159" s="11" t="s">
        <v>8</v>
      </c>
      <c r="H159" s="11" t="s">
        <v>8</v>
      </c>
      <c r="I159" s="11" t="s">
        <v>22</v>
      </c>
      <c r="J159" s="11" t="s">
        <v>22</v>
      </c>
      <c r="K159" s="11" t="s">
        <v>22</v>
      </c>
      <c r="L159" s="8" cm="1">
        <f t="array" ref="L159">SUMPRODUCT(IFERROR(TIMEVALUE(RIGHT(#REF!,5))-TIMEVALUE(LEFT(#REF!,5)),0))</f>
        <v>0</v>
      </c>
      <c r="M159" s="3" cm="1">
        <f t="array" ref="M159">SUMPRODUCT(IFERROR(TIMEVALUE(RIGHT(E159:K159,5))-TIMEVALUE(LEFT(E159:K159,5)),0))</f>
        <v>1.7708333333333335</v>
      </c>
    </row>
    <row r="160" spans="1:38">
      <c r="A160" s="10" t="s">
        <v>203</v>
      </c>
      <c r="B160" s="11"/>
      <c r="C160" s="11"/>
      <c r="D160" s="10"/>
      <c r="E160" s="11" t="s">
        <v>8</v>
      </c>
      <c r="F160" s="11" t="s">
        <v>22</v>
      </c>
      <c r="G160" s="11" t="s">
        <v>22</v>
      </c>
      <c r="H160" s="11" t="s">
        <v>22</v>
      </c>
      <c r="I160" s="11" t="s">
        <v>22</v>
      </c>
      <c r="J160" s="11" t="s">
        <v>22</v>
      </c>
      <c r="K160" s="11" t="s">
        <v>8</v>
      </c>
      <c r="L160" s="8" cm="1">
        <f t="array" ref="L160">SUMPRODUCT(IFERROR(TIMEVALUE(RIGHT(#REF!,5))-TIMEVALUE(LEFT(#REF!,5)),0))</f>
        <v>0</v>
      </c>
      <c r="M160" s="3" cm="1">
        <f t="array" ref="M160">SUMPRODUCT(IFERROR(TIMEVALUE(RIGHT(E160:K160,5))-TIMEVALUE(LEFT(E160:K160,5)),0))</f>
        <v>1.7708333333333335</v>
      </c>
    </row>
    <row r="161" spans="1:38" s="9" customFormat="1">
      <c r="A161" s="10" t="s">
        <v>204</v>
      </c>
      <c r="B161" s="11"/>
      <c r="C161" s="11"/>
      <c r="D161" s="10"/>
      <c r="E161" s="11" t="s">
        <v>8</v>
      </c>
      <c r="F161" s="11" t="s">
        <v>22</v>
      </c>
      <c r="G161" s="11" t="s">
        <v>22</v>
      </c>
      <c r="H161" s="11" t="s">
        <v>22</v>
      </c>
      <c r="I161" s="11" t="s">
        <v>22</v>
      </c>
      <c r="J161" s="11" t="s">
        <v>22</v>
      </c>
      <c r="K161" s="11" t="s">
        <v>8</v>
      </c>
      <c r="L161" s="8" cm="1">
        <f t="array" ref="L161">SUMPRODUCT(IFERROR(TIMEVALUE(RIGHT(#REF!,5))-TIMEVALUE(LEFT(#REF!,5)),0))</f>
        <v>0</v>
      </c>
      <c r="M161" s="3" cm="1">
        <f t="array" ref="M161">SUMPRODUCT(IFERROR(TIMEVALUE(RIGHT(E161:K161,5))-TIMEVALUE(LEFT(E161:K161,5)),0))</f>
        <v>1.7708333333333335</v>
      </c>
      <c r="X161" s="2"/>
      <c r="AF161" s="2"/>
      <c r="AG161" s="2"/>
      <c r="AH161" s="2"/>
      <c r="AI161" s="2"/>
      <c r="AJ161" s="2"/>
      <c r="AK161" s="2"/>
      <c r="AL161" s="2"/>
    </row>
    <row r="162" spans="1:38">
      <c r="A162" s="10" t="s">
        <v>205</v>
      </c>
      <c r="B162" s="11"/>
      <c r="C162" s="11"/>
      <c r="D162" s="10"/>
      <c r="E162" s="11" t="s">
        <v>8</v>
      </c>
      <c r="F162" s="11" t="s">
        <v>7</v>
      </c>
      <c r="G162" s="11" t="s">
        <v>7</v>
      </c>
      <c r="H162" s="11" t="s">
        <v>7</v>
      </c>
      <c r="I162" s="11" t="s">
        <v>7</v>
      </c>
      <c r="J162" s="11" t="s">
        <v>7</v>
      </c>
      <c r="K162" s="11" t="s">
        <v>8</v>
      </c>
      <c r="L162" s="8" cm="1">
        <f t="array" ref="L162">SUMPRODUCT(IFERROR(TIMEVALUE(RIGHT(#REF!,5))-TIMEVALUE(LEFT(#REF!,5)),0))</f>
        <v>0</v>
      </c>
      <c r="M162" s="3" cm="1">
        <f t="array" ref="M162">SUMPRODUCT(IFERROR(TIMEVALUE(RIGHT(E162:K162,5))-TIMEVALUE(LEFT(E162:K162,5)),0))</f>
        <v>1.7708333333333335</v>
      </c>
    </row>
    <row r="163" spans="1:38">
      <c r="A163" s="10" t="s">
        <v>206</v>
      </c>
      <c r="B163" s="11"/>
      <c r="C163" s="11"/>
      <c r="D163" s="10"/>
      <c r="E163" s="11" t="s">
        <v>7</v>
      </c>
      <c r="F163" s="11" t="s">
        <v>8</v>
      </c>
      <c r="G163" s="11" t="s">
        <v>8</v>
      </c>
      <c r="H163" s="11" t="s">
        <v>7</v>
      </c>
      <c r="I163" s="11" t="s">
        <v>7</v>
      </c>
      <c r="J163" s="11" t="s">
        <v>7</v>
      </c>
      <c r="K163" s="11" t="s">
        <v>7</v>
      </c>
      <c r="L163" s="8" cm="1">
        <f t="array" ref="L163">SUMPRODUCT(IFERROR(TIMEVALUE(RIGHT(#REF!,5))-TIMEVALUE(LEFT(#REF!,5)),0))</f>
        <v>0</v>
      </c>
      <c r="M163" s="3" cm="1">
        <f t="array" ref="M163">SUMPRODUCT(IFERROR(TIMEVALUE(RIGHT(E163:K163,5))-TIMEVALUE(LEFT(E163:K163,5)),0))</f>
        <v>1.7708333333333335</v>
      </c>
    </row>
    <row r="164" spans="1:38">
      <c r="A164" s="10" t="s">
        <v>207</v>
      </c>
      <c r="B164" s="11"/>
      <c r="C164" s="11"/>
      <c r="D164" s="10"/>
      <c r="E164" s="11" t="s">
        <v>22</v>
      </c>
      <c r="F164" s="11" t="s">
        <v>22</v>
      </c>
      <c r="G164" s="11" t="s">
        <v>22</v>
      </c>
      <c r="H164" s="11" t="s">
        <v>8</v>
      </c>
      <c r="I164" s="11" t="s">
        <v>8</v>
      </c>
      <c r="J164" s="11" t="s">
        <v>22</v>
      </c>
      <c r="K164" s="11" t="s">
        <v>22</v>
      </c>
      <c r="L164" s="8" cm="1">
        <f t="array" ref="L164">SUMPRODUCT(IFERROR(TIMEVALUE(RIGHT(#REF!,5))-TIMEVALUE(LEFT(#REF!,5)),0))</f>
        <v>0</v>
      </c>
      <c r="M164" s="3" cm="1">
        <f t="array" ref="M164">SUMPRODUCT(IFERROR(TIMEVALUE(RIGHT(E164:K164,5))-TIMEVALUE(LEFT(E164:K164,5)),0))</f>
        <v>1.7708333333333335</v>
      </c>
    </row>
    <row r="165" spans="1:38">
      <c r="A165" s="10" t="s">
        <v>208</v>
      </c>
      <c r="B165" s="11"/>
      <c r="C165" s="11"/>
      <c r="D165" s="10"/>
      <c r="E165" s="11" t="s">
        <v>22</v>
      </c>
      <c r="F165" s="11" t="s">
        <v>22</v>
      </c>
      <c r="G165" s="11" t="s">
        <v>22</v>
      </c>
      <c r="H165" s="11" t="s">
        <v>8</v>
      </c>
      <c r="I165" s="11" t="s">
        <v>8</v>
      </c>
      <c r="J165" s="11" t="s">
        <v>22</v>
      </c>
      <c r="K165" s="11" t="s">
        <v>22</v>
      </c>
      <c r="L165" s="8" cm="1">
        <f t="array" ref="L165">SUMPRODUCT(IFERROR(TIMEVALUE(RIGHT(#REF!,5))-TIMEVALUE(LEFT(#REF!,5)),0))</f>
        <v>0</v>
      </c>
      <c r="M165" s="3" cm="1">
        <f t="array" ref="M165">SUMPRODUCT(IFERROR(TIMEVALUE(RIGHT(E165:K165,5))-TIMEVALUE(LEFT(E165:K165,5)),0))</f>
        <v>1.7708333333333335</v>
      </c>
    </row>
    <row r="166" spans="1:38">
      <c r="A166" s="10" t="s">
        <v>209</v>
      </c>
      <c r="B166" s="11"/>
      <c r="C166" s="11"/>
      <c r="D166" s="10"/>
      <c r="E166" s="11" t="s">
        <v>22</v>
      </c>
      <c r="F166" s="11" t="s">
        <v>22</v>
      </c>
      <c r="G166" s="11" t="s">
        <v>22</v>
      </c>
      <c r="H166" s="11" t="s">
        <v>22</v>
      </c>
      <c r="I166" s="11" t="s">
        <v>22</v>
      </c>
      <c r="J166" s="11" t="s">
        <v>8</v>
      </c>
      <c r="K166" s="11" t="s">
        <v>8</v>
      </c>
      <c r="L166" s="8" cm="1">
        <f t="array" ref="L166">SUMPRODUCT(IFERROR(TIMEVALUE(RIGHT(#REF!,5))-TIMEVALUE(LEFT(#REF!,5)),0))</f>
        <v>0</v>
      </c>
      <c r="M166" s="3" cm="1">
        <f t="array" ref="M166">SUMPRODUCT(IFERROR(TIMEVALUE(RIGHT(E166:K166,5))-TIMEVALUE(LEFT(E166:K166,5)),0))</f>
        <v>1.7708333333333335</v>
      </c>
    </row>
    <row r="167" spans="1:38">
      <c r="A167" s="10" t="s">
        <v>210</v>
      </c>
      <c r="B167" s="11"/>
      <c r="C167" s="11"/>
      <c r="D167" s="10"/>
      <c r="E167" s="11" t="s">
        <v>22</v>
      </c>
      <c r="F167" s="11" t="s">
        <v>22</v>
      </c>
      <c r="G167" s="11" t="s">
        <v>22</v>
      </c>
      <c r="H167" s="11" t="s">
        <v>22</v>
      </c>
      <c r="I167" s="11" t="s">
        <v>8</v>
      </c>
      <c r="J167" s="11" t="s">
        <v>8</v>
      </c>
      <c r="K167" s="11" t="s">
        <v>22</v>
      </c>
      <c r="L167" s="8" cm="1">
        <f t="array" ref="L167">SUMPRODUCT(IFERROR(TIMEVALUE(RIGHT(#REF!,5))-TIMEVALUE(LEFT(#REF!,5)),0))</f>
        <v>0</v>
      </c>
      <c r="M167" s="3" cm="1">
        <f t="array" ref="M167">SUMPRODUCT(IFERROR(TIMEVALUE(RIGHT(E167:K167,5))-TIMEVALUE(LEFT(E167:K167,5)),0))</f>
        <v>1.7708333333333335</v>
      </c>
    </row>
    <row r="168" spans="1:38">
      <c r="A168" s="10" t="s">
        <v>211</v>
      </c>
      <c r="B168" s="11"/>
      <c r="C168" s="11"/>
      <c r="D168" s="10"/>
      <c r="E168" s="11" t="s">
        <v>22</v>
      </c>
      <c r="F168" s="11" t="s">
        <v>8</v>
      </c>
      <c r="G168" s="11" t="s">
        <v>8</v>
      </c>
      <c r="H168" s="11" t="s">
        <v>22</v>
      </c>
      <c r="I168" s="11" t="s">
        <v>22</v>
      </c>
      <c r="J168" s="11" t="s">
        <v>22</v>
      </c>
      <c r="K168" s="11" t="s">
        <v>22</v>
      </c>
      <c r="L168" s="8" cm="1">
        <f t="array" ref="L168">SUMPRODUCT(IFERROR(TIMEVALUE(RIGHT(#REF!,5))-TIMEVALUE(LEFT(#REF!,5)),0))</f>
        <v>0</v>
      </c>
      <c r="M168" s="3" cm="1">
        <f t="array" ref="M168">SUMPRODUCT(IFERROR(TIMEVALUE(RIGHT(E168:K168,5))-TIMEVALUE(LEFT(E168:K168,5)),0))</f>
        <v>1.7708333333333335</v>
      </c>
    </row>
    <row r="169" spans="1:38">
      <c r="A169" s="10" t="s">
        <v>212</v>
      </c>
      <c r="B169" s="11"/>
      <c r="C169" s="11"/>
      <c r="D169" s="10"/>
      <c r="E169" s="11" t="s">
        <v>8</v>
      </c>
      <c r="F169" s="11" t="s">
        <v>22</v>
      </c>
      <c r="G169" s="11" t="s">
        <v>22</v>
      </c>
      <c r="H169" s="11" t="s">
        <v>22</v>
      </c>
      <c r="I169" s="11" t="s">
        <v>22</v>
      </c>
      <c r="J169" s="11" t="s">
        <v>22</v>
      </c>
      <c r="K169" s="11" t="s">
        <v>8</v>
      </c>
      <c r="L169" s="8" cm="1">
        <f t="array" ref="L169">SUMPRODUCT(IFERROR(TIMEVALUE(RIGHT(#REF!,5))-TIMEVALUE(LEFT(#REF!,5)),0))</f>
        <v>0</v>
      </c>
      <c r="M169" s="3" cm="1">
        <f t="array" ref="M169">SUMPRODUCT(IFERROR(TIMEVALUE(RIGHT(E169:K169,5))-TIMEVALUE(LEFT(E169:K169,5)),0))</f>
        <v>1.7708333333333335</v>
      </c>
    </row>
    <row r="170" spans="1:38">
      <c r="A170" s="10" t="s">
        <v>213</v>
      </c>
      <c r="B170" s="11"/>
      <c r="C170" s="11"/>
      <c r="D170" s="10"/>
      <c r="E170" s="11" t="s">
        <v>22</v>
      </c>
      <c r="F170" s="11" t="s">
        <v>22</v>
      </c>
      <c r="G170" s="11" t="s">
        <v>22</v>
      </c>
      <c r="H170" s="11" t="s">
        <v>22</v>
      </c>
      <c r="I170" s="11" t="s">
        <v>22</v>
      </c>
      <c r="J170" s="11" t="s">
        <v>8</v>
      </c>
      <c r="K170" s="11" t="s">
        <v>8</v>
      </c>
      <c r="L170" s="8" cm="1">
        <f t="array" ref="L170">SUMPRODUCT(IFERROR(TIMEVALUE(RIGHT(#REF!,5))-TIMEVALUE(LEFT(#REF!,5)),0))</f>
        <v>0</v>
      </c>
      <c r="M170" s="3" cm="1">
        <f t="array" ref="M170">SUMPRODUCT(IFERROR(TIMEVALUE(RIGHT(E170:K170,5))-TIMEVALUE(LEFT(E170:K170,5)),0))</f>
        <v>1.7708333333333335</v>
      </c>
    </row>
    <row r="171" spans="1:38">
      <c r="A171" s="10" t="s">
        <v>214</v>
      </c>
      <c r="B171" s="11"/>
      <c r="C171" s="11"/>
      <c r="D171" s="10"/>
      <c r="E171" s="11" t="s">
        <v>22</v>
      </c>
      <c r="F171" s="11" t="s">
        <v>22</v>
      </c>
      <c r="G171" s="11" t="s">
        <v>22</v>
      </c>
      <c r="H171" s="11" t="s">
        <v>22</v>
      </c>
      <c r="I171" s="11" t="s">
        <v>22</v>
      </c>
      <c r="J171" s="11" t="s">
        <v>8</v>
      </c>
      <c r="K171" s="11" t="s">
        <v>8</v>
      </c>
      <c r="L171" s="8" cm="1">
        <f t="array" ref="L171">SUMPRODUCT(IFERROR(TIMEVALUE(RIGHT(#REF!,5))-TIMEVALUE(LEFT(#REF!,5)),0))</f>
        <v>0</v>
      </c>
      <c r="M171" s="3" cm="1">
        <f t="array" ref="M171">SUMPRODUCT(IFERROR(TIMEVALUE(RIGHT(E171:K171,5))-TIMEVALUE(LEFT(E171:K171,5)),0))</f>
        <v>1.7708333333333335</v>
      </c>
    </row>
    <row r="172" spans="1:38">
      <c r="A172" s="10" t="s">
        <v>215</v>
      </c>
      <c r="B172" s="11"/>
      <c r="C172" s="11"/>
      <c r="D172" s="10"/>
      <c r="E172" s="11" t="s">
        <v>22</v>
      </c>
      <c r="F172" s="11" t="s">
        <v>22</v>
      </c>
      <c r="G172" s="11" t="s">
        <v>8</v>
      </c>
      <c r="H172" s="11" t="s">
        <v>8</v>
      </c>
      <c r="I172" s="11" t="s">
        <v>22</v>
      </c>
      <c r="J172" s="11" t="s">
        <v>22</v>
      </c>
      <c r="K172" s="11" t="s">
        <v>22</v>
      </c>
      <c r="L172" s="8" cm="1">
        <f t="array" ref="L172">SUMPRODUCT(IFERROR(TIMEVALUE(RIGHT(#REF!,5))-TIMEVALUE(LEFT(#REF!,5)),0))</f>
        <v>0</v>
      </c>
      <c r="M172" s="3" cm="1">
        <f t="array" ref="M172">SUMPRODUCT(IFERROR(TIMEVALUE(RIGHT(E172:K172,5))-TIMEVALUE(LEFT(E172:K172,5)),0))</f>
        <v>1.7708333333333335</v>
      </c>
    </row>
    <row r="173" spans="1:38">
      <c r="A173" s="10" t="s">
        <v>216</v>
      </c>
      <c r="B173" s="11"/>
      <c r="C173" s="11"/>
      <c r="D173" s="10"/>
      <c r="E173" s="11" t="s">
        <v>8</v>
      </c>
      <c r="F173" s="11" t="s">
        <v>22</v>
      </c>
      <c r="G173" s="11" t="s">
        <v>22</v>
      </c>
      <c r="H173" s="11" t="s">
        <v>22</v>
      </c>
      <c r="I173" s="11" t="s">
        <v>22</v>
      </c>
      <c r="J173" s="11" t="s">
        <v>22</v>
      </c>
      <c r="K173" s="11" t="s">
        <v>8</v>
      </c>
      <c r="L173" s="8" cm="1">
        <f t="array" ref="L173">SUMPRODUCT(IFERROR(TIMEVALUE(RIGHT(#REF!,5))-TIMEVALUE(LEFT(#REF!,5)),0))</f>
        <v>0</v>
      </c>
      <c r="M173" s="3" cm="1">
        <f t="array" ref="M173">SUMPRODUCT(IFERROR(TIMEVALUE(RIGHT(E173:K173,5))-TIMEVALUE(LEFT(E173:K173,5)),0))</f>
        <v>1.7708333333333335</v>
      </c>
    </row>
    <row r="174" spans="1:38">
      <c r="A174" s="10" t="s">
        <v>217</v>
      </c>
      <c r="B174" s="11"/>
      <c r="C174" s="11"/>
      <c r="D174" s="10"/>
      <c r="E174" s="11" t="s">
        <v>22</v>
      </c>
      <c r="F174" s="11" t="s">
        <v>8</v>
      </c>
      <c r="G174" s="11" t="s">
        <v>8</v>
      </c>
      <c r="H174" s="11" t="s">
        <v>22</v>
      </c>
      <c r="I174" s="11" t="s">
        <v>22</v>
      </c>
      <c r="J174" s="11" t="s">
        <v>22</v>
      </c>
      <c r="K174" s="11" t="s">
        <v>22</v>
      </c>
      <c r="L174" s="8" cm="1">
        <f t="array" ref="L174">SUMPRODUCT(IFERROR(TIMEVALUE(RIGHT(#REF!,5))-TIMEVALUE(LEFT(#REF!,5)),0))</f>
        <v>0</v>
      </c>
      <c r="M174" s="3" cm="1">
        <f t="array" ref="M174">SUMPRODUCT(IFERROR(TIMEVALUE(RIGHT(E174:K174,5))-TIMEVALUE(LEFT(E174:K174,5)),0))</f>
        <v>1.7708333333333335</v>
      </c>
    </row>
    <row r="175" spans="1:38">
      <c r="A175" s="10" t="s">
        <v>218</v>
      </c>
      <c r="B175" s="11"/>
      <c r="C175" s="11"/>
      <c r="D175" s="10"/>
      <c r="E175" s="11" t="s">
        <v>8</v>
      </c>
      <c r="F175" s="11" t="s">
        <v>8</v>
      </c>
      <c r="G175" s="11" t="s">
        <v>12</v>
      </c>
      <c r="H175" s="11" t="s">
        <v>12</v>
      </c>
      <c r="I175" s="11" t="s">
        <v>12</v>
      </c>
      <c r="J175" s="11" t="s">
        <v>12</v>
      </c>
      <c r="K175" s="11" t="s">
        <v>12</v>
      </c>
      <c r="L175" s="8" cm="1">
        <f t="array" ref="L175">SUMPRODUCT(IFERROR(TIMEVALUE(RIGHT(#REF!,5))-TIMEVALUE(LEFT(#REF!,5)),0))</f>
        <v>0</v>
      </c>
      <c r="M175" s="3" cm="1">
        <f t="array" ref="M175">SUMPRODUCT(IFERROR(TIMEVALUE(RIGHT(E175:K175,5))-TIMEVALUE(LEFT(E175:K175,5)),0))</f>
        <v>1.770833333333333</v>
      </c>
    </row>
    <row r="176" spans="1:38">
      <c r="A176" s="10" t="s">
        <v>219</v>
      </c>
      <c r="B176" s="11"/>
      <c r="C176" s="11"/>
      <c r="D176" s="10"/>
      <c r="E176" s="11" t="s">
        <v>7</v>
      </c>
      <c r="F176" s="11" t="s">
        <v>7</v>
      </c>
      <c r="G176" s="11" t="s">
        <v>7</v>
      </c>
      <c r="H176" s="11" t="s">
        <v>7</v>
      </c>
      <c r="I176" s="11" t="s">
        <v>8</v>
      </c>
      <c r="J176" s="11" t="s">
        <v>8</v>
      </c>
      <c r="K176" s="11" t="s">
        <v>7</v>
      </c>
      <c r="L176" s="8" cm="1">
        <f t="array" ref="L176">SUMPRODUCT(IFERROR(TIMEVALUE(RIGHT(#REF!,5))-TIMEVALUE(LEFT(#REF!,5)),0))</f>
        <v>0</v>
      </c>
      <c r="M176" s="3" cm="1">
        <f t="array" ref="M176">SUMPRODUCT(IFERROR(TIMEVALUE(RIGHT(E176:K176,5))-TIMEVALUE(LEFT(E176:K176,5)),0))</f>
        <v>1.7708333333333335</v>
      </c>
    </row>
    <row r="177" spans="1:13">
      <c r="A177" s="10" t="s">
        <v>220</v>
      </c>
      <c r="B177" s="11"/>
      <c r="C177" s="11"/>
      <c r="D177" s="10"/>
      <c r="E177" s="11" t="s">
        <v>7</v>
      </c>
      <c r="F177" s="11" t="s">
        <v>7</v>
      </c>
      <c r="G177" s="11" t="s">
        <v>7</v>
      </c>
      <c r="H177" s="11" t="s">
        <v>7</v>
      </c>
      <c r="I177" s="11" t="s">
        <v>8</v>
      </c>
      <c r="J177" s="11" t="s">
        <v>8</v>
      </c>
      <c r="K177" s="11" t="s">
        <v>7</v>
      </c>
      <c r="L177" s="8" cm="1">
        <f t="array" ref="L177">SUMPRODUCT(IFERROR(TIMEVALUE(RIGHT(#REF!,5))-TIMEVALUE(LEFT(#REF!,5)),0))</f>
        <v>0</v>
      </c>
      <c r="M177" s="3" cm="1">
        <f t="array" ref="M177">SUMPRODUCT(IFERROR(TIMEVALUE(RIGHT(E177:K177,5))-TIMEVALUE(LEFT(E177:K177,5)),0))</f>
        <v>1.7708333333333335</v>
      </c>
    </row>
    <row r="178" spans="1:13">
      <c r="A178" s="10" t="s">
        <v>221</v>
      </c>
      <c r="B178" s="11"/>
      <c r="C178" s="11"/>
      <c r="D178" s="10"/>
      <c r="E178" s="11" t="s">
        <v>7</v>
      </c>
      <c r="F178" s="11" t="s">
        <v>7</v>
      </c>
      <c r="G178" s="11" t="s">
        <v>7</v>
      </c>
      <c r="H178" s="11" t="s">
        <v>7</v>
      </c>
      <c r="I178" s="11" t="s">
        <v>7</v>
      </c>
      <c r="J178" s="11" t="s">
        <v>8</v>
      </c>
      <c r="K178" s="11" t="s">
        <v>8</v>
      </c>
      <c r="L178" s="8" cm="1">
        <f t="array" ref="L178">SUMPRODUCT(IFERROR(TIMEVALUE(RIGHT(#REF!,5))-TIMEVALUE(LEFT(#REF!,5)),0))</f>
        <v>0</v>
      </c>
      <c r="M178" s="3" cm="1">
        <f t="array" ref="M178">SUMPRODUCT(IFERROR(TIMEVALUE(RIGHT(E178:K178,5))-TIMEVALUE(LEFT(E178:K178,5)),0))</f>
        <v>1.7708333333333335</v>
      </c>
    </row>
    <row r="179" spans="1:13">
      <c r="A179" s="10" t="s">
        <v>222</v>
      </c>
      <c r="B179" s="11"/>
      <c r="C179" s="11"/>
      <c r="D179" s="10"/>
      <c r="E179" s="11" t="s">
        <v>7</v>
      </c>
      <c r="F179" s="11" t="s">
        <v>7</v>
      </c>
      <c r="G179" s="11" t="s">
        <v>7</v>
      </c>
      <c r="H179" s="11" t="s">
        <v>7</v>
      </c>
      <c r="I179" s="11" t="s">
        <v>7</v>
      </c>
      <c r="J179" s="11" t="s">
        <v>8</v>
      </c>
      <c r="K179" s="11" t="s">
        <v>8</v>
      </c>
      <c r="L179" s="8" cm="1">
        <f t="array" ref="L179">SUMPRODUCT(IFERROR(TIMEVALUE(RIGHT(#REF!,5))-TIMEVALUE(LEFT(#REF!,5)),0))</f>
        <v>0</v>
      </c>
      <c r="M179" s="3" cm="1">
        <f t="array" ref="M179">SUMPRODUCT(IFERROR(TIMEVALUE(RIGHT(E179:K179,5))-TIMEVALUE(LEFT(E179:K179,5)),0))</f>
        <v>1.7708333333333335</v>
      </c>
    </row>
    <row r="180" spans="1:13">
      <c r="A180" s="10" t="s">
        <v>223</v>
      </c>
      <c r="B180" s="11"/>
      <c r="C180" s="11"/>
      <c r="D180" s="10"/>
      <c r="E180" s="11" t="s">
        <v>12</v>
      </c>
      <c r="F180" s="11" t="s">
        <v>12</v>
      </c>
      <c r="G180" s="11" t="s">
        <v>12</v>
      </c>
      <c r="H180" s="11" t="s">
        <v>12</v>
      </c>
      <c r="I180" s="11" t="s">
        <v>12</v>
      </c>
      <c r="J180" s="11" t="s">
        <v>8</v>
      </c>
      <c r="K180" s="11" t="s">
        <v>8</v>
      </c>
      <c r="L180" s="8" cm="1">
        <f t="array" ref="L180">SUMPRODUCT(IFERROR(TIMEVALUE(RIGHT(#REF!,5))-TIMEVALUE(LEFT(#REF!,5)),0))</f>
        <v>0</v>
      </c>
      <c r="M180" s="3" cm="1">
        <f t="array" ref="M180">SUMPRODUCT(IFERROR(TIMEVALUE(RIGHT(E180:K180,5))-TIMEVALUE(LEFT(E180:K180,5)),0))</f>
        <v>1.770833333333333</v>
      </c>
    </row>
    <row r="181" spans="1:13">
      <c r="A181" s="10" t="s">
        <v>224</v>
      </c>
      <c r="B181" s="11"/>
      <c r="C181" s="11"/>
      <c r="D181" s="10"/>
      <c r="E181" s="11" t="s">
        <v>7</v>
      </c>
      <c r="F181" s="11" t="s">
        <v>8</v>
      </c>
      <c r="G181" s="11" t="s">
        <v>8</v>
      </c>
      <c r="H181" s="11" t="s">
        <v>7</v>
      </c>
      <c r="I181" s="11" t="s">
        <v>7</v>
      </c>
      <c r="J181" s="11" t="s">
        <v>7</v>
      </c>
      <c r="K181" s="11" t="s">
        <v>7</v>
      </c>
      <c r="L181" s="8" cm="1">
        <f t="array" ref="L181">SUMPRODUCT(IFERROR(TIMEVALUE(RIGHT(#REF!,5))-TIMEVALUE(LEFT(#REF!,5)),0))</f>
        <v>0</v>
      </c>
      <c r="M181" s="3" cm="1">
        <f t="array" ref="M181">SUMPRODUCT(IFERROR(TIMEVALUE(RIGHT(E181:K181,5))-TIMEVALUE(LEFT(E181:K181,5)),0))</f>
        <v>1.7708333333333335</v>
      </c>
    </row>
    <row r="182" spans="1:13">
      <c r="A182" s="10" t="s">
        <v>225</v>
      </c>
      <c r="B182" s="11"/>
      <c r="C182" s="11"/>
      <c r="D182" s="10"/>
      <c r="E182" s="11" t="s">
        <v>7</v>
      </c>
      <c r="F182" s="11" t="s">
        <v>7</v>
      </c>
      <c r="G182" s="11" t="s">
        <v>8</v>
      </c>
      <c r="H182" s="11" t="s">
        <v>8</v>
      </c>
      <c r="I182" s="11" t="s">
        <v>7</v>
      </c>
      <c r="J182" s="11" t="s">
        <v>7</v>
      </c>
      <c r="K182" s="11" t="s">
        <v>7</v>
      </c>
      <c r="L182" s="8" cm="1">
        <f t="array" ref="L182">SUMPRODUCT(IFERROR(TIMEVALUE(RIGHT(#REF!,5))-TIMEVALUE(LEFT(#REF!,5)),0))</f>
        <v>0</v>
      </c>
      <c r="M182" s="3" cm="1">
        <f t="array" ref="M182">SUMPRODUCT(IFERROR(TIMEVALUE(RIGHT(E182:K182,5))-TIMEVALUE(LEFT(E182:K182,5)),0))</f>
        <v>1.7708333333333335</v>
      </c>
    </row>
    <row r="183" spans="1:13">
      <c r="A183" s="10" t="s">
        <v>226</v>
      </c>
      <c r="B183" s="11"/>
      <c r="C183" s="11"/>
      <c r="D183" s="10"/>
      <c r="E183" s="11" t="s">
        <v>7</v>
      </c>
      <c r="F183" s="11" t="s">
        <v>7</v>
      </c>
      <c r="G183" s="11" t="s">
        <v>7</v>
      </c>
      <c r="H183" s="11" t="s">
        <v>7</v>
      </c>
      <c r="I183" s="11" t="s">
        <v>7</v>
      </c>
      <c r="J183" s="11" t="s">
        <v>8</v>
      </c>
      <c r="K183" s="11" t="s">
        <v>8</v>
      </c>
      <c r="L183" s="8" cm="1">
        <f t="array" ref="L183">SUMPRODUCT(IFERROR(TIMEVALUE(RIGHT(#REF!,5))-TIMEVALUE(LEFT(#REF!,5)),0))</f>
        <v>0</v>
      </c>
      <c r="M183" s="3" cm="1">
        <f t="array" ref="M183">SUMPRODUCT(IFERROR(TIMEVALUE(RIGHT(E183:K183,5))-TIMEVALUE(LEFT(E183:K183,5)),0))</f>
        <v>1.7708333333333335</v>
      </c>
    </row>
    <row r="184" spans="1:13">
      <c r="A184" s="10" t="s">
        <v>227</v>
      </c>
      <c r="B184" s="11"/>
      <c r="C184" s="11"/>
      <c r="D184" s="10"/>
      <c r="E184" s="11" t="s">
        <v>8</v>
      </c>
      <c r="F184" s="11" t="s">
        <v>7</v>
      </c>
      <c r="G184" s="11" t="s">
        <v>7</v>
      </c>
      <c r="H184" s="11" t="s">
        <v>7</v>
      </c>
      <c r="I184" s="11" t="s">
        <v>7</v>
      </c>
      <c r="J184" s="11" t="s">
        <v>7</v>
      </c>
      <c r="K184" s="11" t="s">
        <v>8</v>
      </c>
      <c r="L184" s="8" cm="1">
        <f t="array" ref="L184">SUMPRODUCT(IFERROR(TIMEVALUE(RIGHT(#REF!,5))-TIMEVALUE(LEFT(#REF!,5)),0))</f>
        <v>0</v>
      </c>
      <c r="M184" s="3" cm="1">
        <f t="array" ref="M184">SUMPRODUCT(IFERROR(TIMEVALUE(RIGHT(E184:K184,5))-TIMEVALUE(LEFT(E184:K184,5)),0))</f>
        <v>1.7708333333333335</v>
      </c>
    </row>
    <row r="185" spans="1:13">
      <c r="A185" s="10" t="s">
        <v>228</v>
      </c>
      <c r="B185" s="11"/>
      <c r="C185" s="11"/>
      <c r="D185" s="10"/>
      <c r="E185" s="11" t="s">
        <v>27</v>
      </c>
      <c r="F185" s="11" t="s">
        <v>8</v>
      </c>
      <c r="G185" s="11" t="s">
        <v>8</v>
      </c>
      <c r="H185" s="11" t="s">
        <v>27</v>
      </c>
      <c r="I185" s="11" t="s">
        <v>27</v>
      </c>
      <c r="J185" s="11" t="s">
        <v>27</v>
      </c>
      <c r="K185" s="11" t="s">
        <v>27</v>
      </c>
      <c r="L185" s="8" cm="1">
        <f t="array" ref="L185">SUMPRODUCT(IFERROR(TIMEVALUE(RIGHT(#REF!,5))-TIMEVALUE(LEFT(#REF!,5)),0))</f>
        <v>0</v>
      </c>
      <c r="M185" s="3" cm="1">
        <f t="array" ref="M185">SUMPRODUCT(IFERROR(TIMEVALUE(RIGHT(E185:K185,5))-TIMEVALUE(LEFT(E185:K185,5)),0))</f>
        <v>1.7708333333333335</v>
      </c>
    </row>
    <row r="186" spans="1:13">
      <c r="A186" s="10" t="s">
        <v>229</v>
      </c>
      <c r="B186" s="11"/>
      <c r="C186" s="11"/>
      <c r="D186" s="10"/>
      <c r="E186" s="11" t="s">
        <v>8</v>
      </c>
      <c r="F186" s="11" t="s">
        <v>27</v>
      </c>
      <c r="G186" s="11" t="s">
        <v>27</v>
      </c>
      <c r="H186" s="11" t="s">
        <v>27</v>
      </c>
      <c r="I186" s="11" t="s">
        <v>27</v>
      </c>
      <c r="J186" s="11" t="s">
        <v>27</v>
      </c>
      <c r="K186" s="11" t="s">
        <v>8</v>
      </c>
      <c r="L186" s="8" cm="1">
        <f t="array" ref="L186">SUMPRODUCT(IFERROR(TIMEVALUE(RIGHT(#REF!,5))-TIMEVALUE(LEFT(#REF!,5)),0))</f>
        <v>0</v>
      </c>
      <c r="M186" s="3" cm="1">
        <f t="array" ref="M186">SUMPRODUCT(IFERROR(TIMEVALUE(RIGHT(E186:K186,5))-TIMEVALUE(LEFT(E186:K186,5)),0))</f>
        <v>1.7708333333333335</v>
      </c>
    </row>
    <row r="187" spans="1:13">
      <c r="A187" s="10" t="s">
        <v>230</v>
      </c>
      <c r="B187" s="11"/>
      <c r="C187" s="11"/>
      <c r="D187" s="10"/>
      <c r="E187" s="11" t="s">
        <v>8</v>
      </c>
      <c r="F187" s="11" t="s">
        <v>27</v>
      </c>
      <c r="G187" s="11" t="s">
        <v>27</v>
      </c>
      <c r="H187" s="11" t="s">
        <v>27</v>
      </c>
      <c r="I187" s="11" t="s">
        <v>27</v>
      </c>
      <c r="J187" s="11" t="s">
        <v>27</v>
      </c>
      <c r="K187" s="11" t="s">
        <v>8</v>
      </c>
      <c r="L187" s="8" cm="1">
        <f t="array" ref="L187">SUMPRODUCT(IFERROR(TIMEVALUE(RIGHT(#REF!,5))-TIMEVALUE(LEFT(#REF!,5)),0))</f>
        <v>0</v>
      </c>
      <c r="M187" s="3" cm="1">
        <f t="array" ref="M187">SUMPRODUCT(IFERROR(TIMEVALUE(RIGHT(E187:K187,5))-TIMEVALUE(LEFT(E187:K187,5)),0))</f>
        <v>1.7708333333333335</v>
      </c>
    </row>
    <row r="188" spans="1:13">
      <c r="A188" s="10" t="s">
        <v>231</v>
      </c>
      <c r="B188" s="11"/>
      <c r="C188" s="11"/>
      <c r="D188" s="10"/>
      <c r="E188" s="11" t="s">
        <v>22</v>
      </c>
      <c r="F188" s="11" t="s">
        <v>22</v>
      </c>
      <c r="G188" s="11" t="s">
        <v>8</v>
      </c>
      <c r="H188" s="11" t="s">
        <v>8</v>
      </c>
      <c r="I188" s="11" t="s">
        <v>22</v>
      </c>
      <c r="J188" s="11" t="s">
        <v>22</v>
      </c>
      <c r="K188" s="11" t="s">
        <v>22</v>
      </c>
      <c r="L188" s="8" cm="1">
        <f t="array" ref="L188">SUMPRODUCT(IFERROR(TIMEVALUE(RIGHT(#REF!,5))-TIMEVALUE(LEFT(#REF!,5)),0))</f>
        <v>0</v>
      </c>
      <c r="M188" s="3" cm="1">
        <f t="array" ref="M188">SUMPRODUCT(IFERROR(TIMEVALUE(RIGHT(E188:K188,5))-TIMEVALUE(LEFT(E188:K188,5)),0))</f>
        <v>1.7708333333333335</v>
      </c>
    </row>
    <row r="189" spans="1:13">
      <c r="A189" s="10" t="s">
        <v>232</v>
      </c>
      <c r="B189" s="11"/>
      <c r="C189" s="11"/>
      <c r="D189" s="10"/>
      <c r="E189" s="11" t="s">
        <v>22</v>
      </c>
      <c r="F189" s="11" t="s">
        <v>22</v>
      </c>
      <c r="G189" s="11" t="s">
        <v>22</v>
      </c>
      <c r="H189" s="11" t="s">
        <v>22</v>
      </c>
      <c r="I189" s="11" t="s">
        <v>8</v>
      </c>
      <c r="J189" s="11" t="s">
        <v>8</v>
      </c>
      <c r="K189" s="11" t="s">
        <v>22</v>
      </c>
      <c r="L189" s="8" cm="1">
        <f t="array" ref="L189">SUMPRODUCT(IFERROR(TIMEVALUE(RIGHT(#REF!,5))-TIMEVALUE(LEFT(#REF!,5)),0))</f>
        <v>0</v>
      </c>
      <c r="M189" s="3" cm="1">
        <f t="array" ref="M189">SUMPRODUCT(IFERROR(TIMEVALUE(RIGHT(E189:K189,5))-TIMEVALUE(LEFT(E189:K189,5)),0))</f>
        <v>1.7708333333333335</v>
      </c>
    </row>
    <row r="190" spans="1:13">
      <c r="A190" s="10" t="s">
        <v>233</v>
      </c>
      <c r="B190" s="11"/>
      <c r="C190" s="11"/>
      <c r="D190" s="10"/>
      <c r="E190" s="11" t="s">
        <v>7</v>
      </c>
      <c r="F190" s="11" t="s">
        <v>7</v>
      </c>
      <c r="G190" s="11" t="s">
        <v>8</v>
      </c>
      <c r="H190" s="11" t="s">
        <v>8</v>
      </c>
      <c r="I190" s="11" t="s">
        <v>7</v>
      </c>
      <c r="J190" s="11" t="s">
        <v>7</v>
      </c>
      <c r="K190" s="11" t="s">
        <v>7</v>
      </c>
      <c r="L190" s="8" cm="1">
        <f t="array" ref="L190">SUMPRODUCT(IFERROR(TIMEVALUE(RIGHT(#REF!,5))-TIMEVALUE(LEFT(#REF!,5)),0))</f>
        <v>0</v>
      </c>
      <c r="M190" s="3" cm="1">
        <f t="array" ref="M190">SUMPRODUCT(IFERROR(TIMEVALUE(RIGHT(E190:K190,5))-TIMEVALUE(LEFT(E190:K190,5)),0))</f>
        <v>1.7708333333333335</v>
      </c>
    </row>
    <row r="191" spans="1:13">
      <c r="A191" s="10" t="s">
        <v>234</v>
      </c>
      <c r="B191" s="11"/>
      <c r="C191" s="11"/>
      <c r="D191" s="10"/>
      <c r="E191" s="11" t="s">
        <v>8</v>
      </c>
      <c r="F191" s="11" t="s">
        <v>27</v>
      </c>
      <c r="G191" s="11" t="s">
        <v>27</v>
      </c>
      <c r="H191" s="11" t="s">
        <v>27</v>
      </c>
      <c r="I191" s="11" t="s">
        <v>27</v>
      </c>
      <c r="J191" s="11" t="s">
        <v>27</v>
      </c>
      <c r="K191" s="11" t="s">
        <v>8</v>
      </c>
      <c r="L191" s="8" cm="1">
        <f t="array" ref="L191">SUMPRODUCT(IFERROR(TIMEVALUE(RIGHT(#REF!,5))-TIMEVALUE(LEFT(#REF!,5)),0))</f>
        <v>0</v>
      </c>
      <c r="M191" s="3" cm="1">
        <f t="array" ref="M191">SUMPRODUCT(IFERROR(TIMEVALUE(RIGHT(E191:K191,5))-TIMEVALUE(LEFT(E191:K191,5)),0))</f>
        <v>1.7708333333333335</v>
      </c>
    </row>
    <row r="192" spans="1:13">
      <c r="A192" s="10" t="s">
        <v>235</v>
      </c>
      <c r="B192" s="11"/>
      <c r="C192" s="11"/>
      <c r="D192" s="10"/>
      <c r="E192" s="11" t="s">
        <v>8</v>
      </c>
      <c r="F192" s="11" t="s">
        <v>22</v>
      </c>
      <c r="G192" s="11" t="s">
        <v>22</v>
      </c>
      <c r="H192" s="11" t="s">
        <v>22</v>
      </c>
      <c r="I192" s="11" t="s">
        <v>22</v>
      </c>
      <c r="J192" s="11" t="s">
        <v>22</v>
      </c>
      <c r="K192" s="11" t="s">
        <v>8</v>
      </c>
      <c r="L192" s="8" cm="1">
        <f t="array" ref="L192">SUMPRODUCT(IFERROR(TIMEVALUE(RIGHT(#REF!,5))-TIMEVALUE(LEFT(#REF!,5)),0))</f>
        <v>0</v>
      </c>
      <c r="M192" s="3" cm="1">
        <f t="array" ref="M192">SUMPRODUCT(IFERROR(TIMEVALUE(RIGHT(E192:K192,5))-TIMEVALUE(LEFT(E192:K192,5)),0))</f>
        <v>1.7708333333333335</v>
      </c>
    </row>
    <row r="193" spans="1:13">
      <c r="A193" s="10" t="s">
        <v>236</v>
      </c>
      <c r="B193" s="11"/>
      <c r="C193" s="11"/>
      <c r="D193" s="10"/>
      <c r="E193" s="11" t="s">
        <v>22</v>
      </c>
      <c r="F193" s="11" t="s">
        <v>22</v>
      </c>
      <c r="G193" s="11" t="s">
        <v>22</v>
      </c>
      <c r="H193" s="11" t="s">
        <v>22</v>
      </c>
      <c r="I193" s="11" t="s">
        <v>8</v>
      </c>
      <c r="J193" s="11" t="s">
        <v>8</v>
      </c>
      <c r="K193" s="11" t="s">
        <v>22</v>
      </c>
      <c r="L193" s="8" cm="1">
        <f t="array" ref="L193">SUMPRODUCT(IFERROR(TIMEVALUE(RIGHT(#REF!,5))-TIMEVALUE(LEFT(#REF!,5)),0))</f>
        <v>0</v>
      </c>
      <c r="M193" s="3" cm="1">
        <f t="array" ref="M193">SUMPRODUCT(IFERROR(TIMEVALUE(RIGHT(E193:K193,5))-TIMEVALUE(LEFT(E193:K193,5)),0))</f>
        <v>1.7708333333333335</v>
      </c>
    </row>
    <row r="194" spans="1:13">
      <c r="A194" s="10" t="s">
        <v>237</v>
      </c>
      <c r="B194" s="11"/>
      <c r="C194" s="11"/>
      <c r="D194" s="10"/>
      <c r="E194" s="11" t="s">
        <v>22</v>
      </c>
      <c r="F194" s="11" t="s">
        <v>22</v>
      </c>
      <c r="G194" s="11" t="s">
        <v>22</v>
      </c>
      <c r="H194" s="11" t="s">
        <v>22</v>
      </c>
      <c r="I194" s="11" t="s">
        <v>22</v>
      </c>
      <c r="J194" s="11" t="s">
        <v>8</v>
      </c>
      <c r="K194" s="11" t="s">
        <v>8</v>
      </c>
      <c r="L194" s="8" cm="1">
        <f t="array" ref="L194">SUMPRODUCT(IFERROR(TIMEVALUE(RIGHT(#REF!,5))-TIMEVALUE(LEFT(#REF!,5)),0))</f>
        <v>0</v>
      </c>
      <c r="M194" s="3" cm="1">
        <f t="array" ref="M194">SUMPRODUCT(IFERROR(TIMEVALUE(RIGHT(E194:K194,5))-TIMEVALUE(LEFT(E194:K194,5)),0))</f>
        <v>1.7708333333333335</v>
      </c>
    </row>
    <row r="195" spans="1:13">
      <c r="A195" s="10" t="s">
        <v>238</v>
      </c>
      <c r="B195" s="11"/>
      <c r="C195" s="11"/>
      <c r="D195" s="10"/>
      <c r="E195" s="11" t="s">
        <v>22</v>
      </c>
      <c r="F195" s="11" t="s">
        <v>22</v>
      </c>
      <c r="G195" s="11" t="s">
        <v>22</v>
      </c>
      <c r="H195" s="11" t="s">
        <v>22</v>
      </c>
      <c r="I195" s="11" t="s">
        <v>22</v>
      </c>
      <c r="J195" s="11" t="s">
        <v>8</v>
      </c>
      <c r="K195" s="11" t="s">
        <v>8</v>
      </c>
      <c r="L195" s="8" cm="1">
        <f t="array" ref="L195">SUMPRODUCT(IFERROR(TIMEVALUE(RIGHT(#REF!,5))-TIMEVALUE(LEFT(#REF!,5)),0))</f>
        <v>0</v>
      </c>
      <c r="M195" s="3" cm="1">
        <f t="array" ref="M195">SUMPRODUCT(IFERROR(TIMEVALUE(RIGHT(E195:K195,5))-TIMEVALUE(LEFT(E195:K195,5)),0))</f>
        <v>1.7708333333333335</v>
      </c>
    </row>
    <row r="196" spans="1:13">
      <c r="A196" s="10" t="s">
        <v>239</v>
      </c>
      <c r="B196" s="11"/>
      <c r="C196" s="11"/>
      <c r="D196" s="10"/>
      <c r="E196" s="11" t="s">
        <v>22</v>
      </c>
      <c r="F196" s="11" t="s">
        <v>22</v>
      </c>
      <c r="G196" s="11" t="s">
        <v>22</v>
      </c>
      <c r="H196" s="11" t="s">
        <v>22</v>
      </c>
      <c r="I196" s="11" t="s">
        <v>22</v>
      </c>
      <c r="J196" s="11" t="s">
        <v>8</v>
      </c>
      <c r="K196" s="11" t="s">
        <v>8</v>
      </c>
      <c r="L196" s="8" cm="1">
        <f t="array" ref="L196">SUMPRODUCT(IFERROR(TIMEVALUE(RIGHT(#REF!,5))-TIMEVALUE(LEFT(#REF!,5)),0))</f>
        <v>0</v>
      </c>
      <c r="M196" s="3" cm="1">
        <f t="array" ref="M196">SUMPRODUCT(IFERROR(TIMEVALUE(RIGHT(E196:K196,5))-TIMEVALUE(LEFT(E196:K196,5)),0))</f>
        <v>1.7708333333333335</v>
      </c>
    </row>
    <row r="197" spans="1:13">
      <c r="A197" s="10" t="s">
        <v>240</v>
      </c>
      <c r="B197" s="11"/>
      <c r="C197" s="11"/>
      <c r="D197" s="10"/>
      <c r="E197" s="11" t="s">
        <v>22</v>
      </c>
      <c r="F197" s="11" t="s">
        <v>8</v>
      </c>
      <c r="G197" s="11" t="s">
        <v>8</v>
      </c>
      <c r="H197" s="11" t="s">
        <v>22</v>
      </c>
      <c r="I197" s="11" t="s">
        <v>22</v>
      </c>
      <c r="J197" s="11" t="s">
        <v>22</v>
      </c>
      <c r="K197" s="11" t="s">
        <v>22</v>
      </c>
      <c r="L197" s="8" cm="1">
        <f t="array" ref="L197">SUMPRODUCT(IFERROR(TIMEVALUE(RIGHT(#REF!,5))-TIMEVALUE(LEFT(#REF!,5)),0))</f>
        <v>0</v>
      </c>
      <c r="M197" s="3" cm="1">
        <f t="array" ref="M197">SUMPRODUCT(IFERROR(TIMEVALUE(RIGHT(E197:K197,5))-TIMEVALUE(LEFT(E197:K197,5)),0))</f>
        <v>1.7708333333333335</v>
      </c>
    </row>
    <row r="198" spans="1:13">
      <c r="A198" s="10" t="s">
        <v>241</v>
      </c>
      <c r="B198" s="11"/>
      <c r="C198" s="11"/>
      <c r="D198" s="10"/>
      <c r="E198" s="11" t="s">
        <v>22</v>
      </c>
      <c r="F198" s="11" t="s">
        <v>8</v>
      </c>
      <c r="G198" s="11" t="s">
        <v>8</v>
      </c>
      <c r="H198" s="11" t="s">
        <v>22</v>
      </c>
      <c r="I198" s="11" t="s">
        <v>22</v>
      </c>
      <c r="J198" s="11" t="s">
        <v>22</v>
      </c>
      <c r="K198" s="11" t="s">
        <v>22</v>
      </c>
      <c r="L198" s="8" cm="1">
        <f t="array" ref="L198">SUMPRODUCT(IFERROR(TIMEVALUE(RIGHT(#REF!,5))-TIMEVALUE(LEFT(#REF!,5)),0))</f>
        <v>0</v>
      </c>
      <c r="M198" s="3" cm="1">
        <f t="array" ref="M198">SUMPRODUCT(IFERROR(TIMEVALUE(RIGHT(E198:K198,5))-TIMEVALUE(LEFT(E198:K198,5)),0))</f>
        <v>1.7708333333333335</v>
      </c>
    </row>
    <row r="199" spans="1:13">
      <c r="A199" s="10" t="s">
        <v>242</v>
      </c>
      <c r="B199" s="11"/>
      <c r="C199" s="11"/>
      <c r="D199" s="10"/>
      <c r="E199" s="11" t="s">
        <v>22</v>
      </c>
      <c r="F199" s="11" t="s">
        <v>22</v>
      </c>
      <c r="G199" s="11" t="s">
        <v>22</v>
      </c>
      <c r="H199" s="11" t="s">
        <v>22</v>
      </c>
      <c r="I199" s="11" t="s">
        <v>22</v>
      </c>
      <c r="J199" s="11" t="s">
        <v>8</v>
      </c>
      <c r="K199" s="11" t="s">
        <v>8</v>
      </c>
      <c r="L199" s="8" cm="1">
        <f t="array" ref="L199">SUMPRODUCT(IFERROR(TIMEVALUE(RIGHT(#REF!,5))-TIMEVALUE(LEFT(#REF!,5)),0))</f>
        <v>0</v>
      </c>
      <c r="M199" s="3" cm="1">
        <f t="array" ref="M199">SUMPRODUCT(IFERROR(TIMEVALUE(RIGHT(E199:K199,5))-TIMEVALUE(LEFT(E199:K199,5)),0))</f>
        <v>1.7708333333333335</v>
      </c>
    </row>
    <row r="200" spans="1:13">
      <c r="A200" s="10" t="s">
        <v>243</v>
      </c>
      <c r="B200" s="11"/>
      <c r="C200" s="11"/>
      <c r="D200" s="10"/>
      <c r="E200" s="20" t="s">
        <v>22</v>
      </c>
      <c r="F200" s="20" t="s">
        <v>22</v>
      </c>
      <c r="G200" s="20" t="s">
        <v>22</v>
      </c>
      <c r="H200" s="20" t="s">
        <v>22</v>
      </c>
      <c r="I200" s="20" t="s">
        <v>8</v>
      </c>
      <c r="J200" s="11" t="s">
        <v>8</v>
      </c>
      <c r="K200" s="11" t="s">
        <v>22</v>
      </c>
      <c r="L200" s="8" cm="1">
        <f t="array" ref="L200">SUMPRODUCT(IFERROR(TIMEVALUE(RIGHT(#REF!,5))-TIMEVALUE(LEFT(#REF!,5)),0))</f>
        <v>0</v>
      </c>
      <c r="M200" s="3" cm="1">
        <f t="array" ref="M200">SUMPRODUCT(IFERROR(TIMEVALUE(RIGHT(E200:K200,5))-TIMEVALUE(LEFT(E200:K200,5)),0))</f>
        <v>1.7708333333333335</v>
      </c>
    </row>
    <row r="201" spans="1:13">
      <c r="A201" s="10" t="s">
        <v>244</v>
      </c>
      <c r="B201" s="11"/>
      <c r="C201" s="11"/>
      <c r="D201" s="10"/>
      <c r="E201" s="22" t="s">
        <v>8</v>
      </c>
      <c r="F201" s="22" t="s">
        <v>22</v>
      </c>
      <c r="G201" s="22" t="s">
        <v>22</v>
      </c>
      <c r="H201" s="22" t="s">
        <v>22</v>
      </c>
      <c r="I201" s="22" t="s">
        <v>22</v>
      </c>
      <c r="J201" s="11" t="s">
        <v>22</v>
      </c>
      <c r="K201" s="11" t="s">
        <v>8</v>
      </c>
      <c r="L201" s="8" cm="1">
        <f t="array" ref="L201">SUMPRODUCT(IFERROR(TIMEVALUE(RIGHT(#REF!,5))-TIMEVALUE(LEFT(#REF!,5)),0))</f>
        <v>0</v>
      </c>
      <c r="M201" s="3" cm="1">
        <f t="array" ref="M201">SUMPRODUCT(IFERROR(TIMEVALUE(RIGHT(E201:K201,5))-TIMEVALUE(LEFT(E201:K201,5)),0))</f>
        <v>1.7708333333333335</v>
      </c>
    </row>
    <row r="202" spans="1:13">
      <c r="A202" s="10" t="s">
        <v>245</v>
      </c>
      <c r="B202" s="11"/>
      <c r="C202" s="11"/>
      <c r="D202" s="10"/>
      <c r="E202" s="22" t="s">
        <v>22</v>
      </c>
      <c r="F202" s="22" t="s">
        <v>22</v>
      </c>
      <c r="G202" s="22" t="s">
        <v>8</v>
      </c>
      <c r="H202" s="22" t="s">
        <v>8</v>
      </c>
      <c r="I202" s="22" t="s">
        <v>22</v>
      </c>
      <c r="J202" s="11" t="s">
        <v>22</v>
      </c>
      <c r="K202" s="11" t="s">
        <v>22</v>
      </c>
      <c r="L202" s="8" cm="1">
        <f t="array" ref="L202">SUMPRODUCT(IFERROR(TIMEVALUE(RIGHT(#REF!,5))-TIMEVALUE(LEFT(#REF!,5)),0))</f>
        <v>0</v>
      </c>
      <c r="M202" s="3" cm="1">
        <f t="array" ref="M202">SUMPRODUCT(IFERROR(TIMEVALUE(RIGHT(E202:K202,5))-TIMEVALUE(LEFT(E202:K202,5)),0))</f>
        <v>1.7708333333333335</v>
      </c>
    </row>
    <row r="203" spans="1:13">
      <c r="A203" s="10" t="s">
        <v>246</v>
      </c>
      <c r="B203" s="11"/>
      <c r="C203" s="11"/>
      <c r="D203" s="10"/>
      <c r="E203" s="22" t="s">
        <v>8</v>
      </c>
      <c r="F203" s="22" t="s">
        <v>22</v>
      </c>
      <c r="G203" s="22" t="s">
        <v>22</v>
      </c>
      <c r="H203" s="22" t="s">
        <v>22</v>
      </c>
      <c r="I203" s="22" t="s">
        <v>22</v>
      </c>
      <c r="J203" s="11" t="s">
        <v>22</v>
      </c>
      <c r="K203" s="11" t="s">
        <v>8</v>
      </c>
      <c r="L203" s="8" cm="1">
        <f t="array" ref="L203">SUMPRODUCT(IFERROR(TIMEVALUE(RIGHT(#REF!,5))-TIMEVALUE(LEFT(#REF!,5)),0))</f>
        <v>0</v>
      </c>
      <c r="M203" s="3" cm="1">
        <f t="array" ref="M203">SUMPRODUCT(IFERROR(TIMEVALUE(RIGHT(E203:K203,5))-TIMEVALUE(LEFT(E203:K203,5)),0))</f>
        <v>1.7708333333333335</v>
      </c>
    </row>
    <row r="204" spans="1:13">
      <c r="A204" s="10" t="s">
        <v>247</v>
      </c>
      <c r="B204" s="11"/>
      <c r="C204" s="11"/>
      <c r="D204" s="10"/>
      <c r="E204" s="22" t="s">
        <v>12</v>
      </c>
      <c r="F204" s="22" t="s">
        <v>8</v>
      </c>
      <c r="G204" s="22" t="s">
        <v>8</v>
      </c>
      <c r="H204" s="22" t="s">
        <v>12</v>
      </c>
      <c r="I204" s="22" t="s">
        <v>12</v>
      </c>
      <c r="J204" s="11" t="s">
        <v>12</v>
      </c>
      <c r="K204" s="11" t="s">
        <v>12</v>
      </c>
      <c r="L204" s="8" cm="1">
        <f t="array" ref="L204">SUMPRODUCT(IFERROR(TIMEVALUE(RIGHT(#REF!,5))-TIMEVALUE(LEFT(#REF!,5)),0))</f>
        <v>0</v>
      </c>
      <c r="M204" s="3" cm="1">
        <f t="array" ref="M204">SUMPRODUCT(IFERROR(TIMEVALUE(RIGHT(E204:K204,5))-TIMEVALUE(LEFT(E204:K204,5)),0))</f>
        <v>1.770833333333333</v>
      </c>
    </row>
    <row r="205" spans="1:13">
      <c r="A205" s="10" t="s">
        <v>248</v>
      </c>
      <c r="B205" s="11"/>
      <c r="C205" s="11"/>
      <c r="D205" s="10"/>
      <c r="E205" s="22" t="s">
        <v>7</v>
      </c>
      <c r="F205" s="22" t="s">
        <v>7</v>
      </c>
      <c r="G205" s="22" t="s">
        <v>8</v>
      </c>
      <c r="H205" s="22" t="s">
        <v>8</v>
      </c>
      <c r="I205" s="22" t="s">
        <v>7</v>
      </c>
      <c r="J205" s="11" t="s">
        <v>7</v>
      </c>
      <c r="K205" s="11" t="s">
        <v>7</v>
      </c>
      <c r="L205" s="8" cm="1">
        <f t="array" ref="L205">SUMPRODUCT(IFERROR(TIMEVALUE(RIGHT(#REF!,5))-TIMEVALUE(LEFT(#REF!,5)),0))</f>
        <v>0</v>
      </c>
      <c r="M205" s="3" cm="1">
        <f t="array" ref="M205">SUMPRODUCT(IFERROR(TIMEVALUE(RIGHT(E205:K205,5))-TIMEVALUE(LEFT(E205:K205,5)),0))</f>
        <v>1.7708333333333335</v>
      </c>
    </row>
    <row r="206" spans="1:13">
      <c r="A206" s="10" t="s">
        <v>249</v>
      </c>
      <c r="B206" s="11"/>
      <c r="C206" s="11"/>
      <c r="D206" s="10"/>
      <c r="E206" s="22" t="s">
        <v>7</v>
      </c>
      <c r="F206" s="22" t="s">
        <v>7</v>
      </c>
      <c r="G206" s="22" t="s">
        <v>8</v>
      </c>
      <c r="H206" s="22" t="s">
        <v>8</v>
      </c>
      <c r="I206" s="22" t="s">
        <v>7</v>
      </c>
      <c r="J206" s="11" t="s">
        <v>7</v>
      </c>
      <c r="K206" s="11" t="s">
        <v>7</v>
      </c>
      <c r="L206" s="8" cm="1">
        <f t="array" ref="L206">SUMPRODUCT(IFERROR(TIMEVALUE(RIGHT(#REF!,5))-TIMEVALUE(LEFT(#REF!,5)),0))</f>
        <v>0</v>
      </c>
      <c r="M206" s="3" cm="1">
        <f t="array" ref="M206">SUMPRODUCT(IFERROR(TIMEVALUE(RIGHT(E206:K206,5))-TIMEVALUE(LEFT(E206:K206,5)),0))</f>
        <v>1.7708333333333335</v>
      </c>
    </row>
    <row r="207" spans="1:13">
      <c r="A207" s="10" t="s">
        <v>250</v>
      </c>
      <c r="B207" s="11"/>
      <c r="C207" s="11"/>
      <c r="D207" s="10"/>
      <c r="E207" s="22" t="s">
        <v>8</v>
      </c>
      <c r="F207" s="22" t="s">
        <v>7</v>
      </c>
      <c r="G207" s="22" t="s">
        <v>7</v>
      </c>
      <c r="H207" s="22" t="s">
        <v>7</v>
      </c>
      <c r="I207" s="22" t="s">
        <v>7</v>
      </c>
      <c r="J207" s="11" t="s">
        <v>7</v>
      </c>
      <c r="K207" s="11" t="s">
        <v>8</v>
      </c>
      <c r="L207" s="8" cm="1">
        <f t="array" ref="L207">SUMPRODUCT(IFERROR(TIMEVALUE(RIGHT(#REF!,5))-TIMEVALUE(LEFT(#REF!,5)),0))</f>
        <v>0</v>
      </c>
      <c r="M207" s="3" cm="1">
        <f t="array" ref="M207">SUMPRODUCT(IFERROR(TIMEVALUE(RIGHT(E207:K207,5))-TIMEVALUE(LEFT(E207:K207,5)),0))</f>
        <v>1.7708333333333335</v>
      </c>
    </row>
    <row r="208" spans="1:13">
      <c r="A208" s="10" t="s">
        <v>251</v>
      </c>
      <c r="B208" s="11"/>
      <c r="C208" s="11"/>
      <c r="D208" s="10"/>
      <c r="E208" s="22" t="s">
        <v>7</v>
      </c>
      <c r="F208" s="22" t="s">
        <v>7</v>
      </c>
      <c r="G208" s="22" t="s">
        <v>7</v>
      </c>
      <c r="H208" s="22" t="s">
        <v>8</v>
      </c>
      <c r="I208" s="22" t="s">
        <v>8</v>
      </c>
      <c r="J208" s="11" t="s">
        <v>7</v>
      </c>
      <c r="K208" s="11" t="s">
        <v>7</v>
      </c>
      <c r="L208" s="8" cm="1">
        <f t="array" ref="L208">SUMPRODUCT(IFERROR(TIMEVALUE(RIGHT(#REF!,5))-TIMEVALUE(LEFT(#REF!,5)),0))</f>
        <v>0</v>
      </c>
      <c r="M208" s="3" cm="1">
        <f t="array" ref="M208">SUMPRODUCT(IFERROR(TIMEVALUE(RIGHT(E208:K208,5))-TIMEVALUE(LEFT(E208:K208,5)),0))</f>
        <v>1.7708333333333335</v>
      </c>
    </row>
    <row r="209" spans="1:13">
      <c r="A209" s="10" t="s">
        <v>252</v>
      </c>
      <c r="B209" s="11"/>
      <c r="C209" s="11"/>
      <c r="D209" s="10"/>
      <c r="E209" s="22" t="s">
        <v>7</v>
      </c>
      <c r="F209" s="22" t="s">
        <v>8</v>
      </c>
      <c r="G209" s="22" t="s">
        <v>8</v>
      </c>
      <c r="H209" s="22" t="s">
        <v>7</v>
      </c>
      <c r="I209" s="22" t="s">
        <v>7</v>
      </c>
      <c r="J209" s="11" t="s">
        <v>7</v>
      </c>
      <c r="K209" s="11" t="s">
        <v>7</v>
      </c>
      <c r="L209" s="8" cm="1">
        <f t="array" ref="L209">SUMPRODUCT(IFERROR(TIMEVALUE(RIGHT(#REF!,5))-TIMEVALUE(LEFT(#REF!,5)),0))</f>
        <v>0</v>
      </c>
      <c r="M209" s="3" cm="1">
        <f t="array" ref="M209">SUMPRODUCT(IFERROR(TIMEVALUE(RIGHT(E209:K209,5))-TIMEVALUE(LEFT(E209:K209,5)),0))</f>
        <v>1.7708333333333335</v>
      </c>
    </row>
    <row r="210" spans="1:13">
      <c r="A210" s="10" t="s">
        <v>253</v>
      </c>
      <c r="B210" s="11"/>
      <c r="C210" s="11"/>
      <c r="D210" s="10"/>
      <c r="E210" s="22" t="s">
        <v>8</v>
      </c>
      <c r="F210" s="22" t="s">
        <v>8</v>
      </c>
      <c r="G210" s="22" t="s">
        <v>7</v>
      </c>
      <c r="H210" s="22" t="s">
        <v>7</v>
      </c>
      <c r="I210" s="22" t="s">
        <v>7</v>
      </c>
      <c r="J210" s="11" t="s">
        <v>7</v>
      </c>
      <c r="K210" s="11" t="s">
        <v>7</v>
      </c>
      <c r="L210" s="8" cm="1">
        <f t="array" ref="L210">SUMPRODUCT(IFERROR(TIMEVALUE(RIGHT(#REF!,5))-TIMEVALUE(LEFT(#REF!,5)),0))</f>
        <v>0</v>
      </c>
      <c r="M210" s="3" cm="1">
        <f t="array" ref="M210">SUMPRODUCT(IFERROR(TIMEVALUE(RIGHT(E210:K210,5))-TIMEVALUE(LEFT(E210:K210,5)),0))</f>
        <v>1.7708333333333335</v>
      </c>
    </row>
    <row r="211" spans="1:13">
      <c r="A211" s="10" t="s">
        <v>254</v>
      </c>
      <c r="B211" s="11"/>
      <c r="C211" s="11"/>
      <c r="D211" s="10"/>
      <c r="E211" s="22" t="s">
        <v>7</v>
      </c>
      <c r="F211" s="22" t="s">
        <v>8</v>
      </c>
      <c r="G211" s="22" t="s">
        <v>8</v>
      </c>
      <c r="H211" s="22" t="s">
        <v>7</v>
      </c>
      <c r="I211" s="22" t="s">
        <v>7</v>
      </c>
      <c r="J211" s="11" t="s">
        <v>7</v>
      </c>
      <c r="K211" s="11" t="s">
        <v>7</v>
      </c>
      <c r="L211" s="8" cm="1">
        <f t="array" ref="L211">SUMPRODUCT(IFERROR(TIMEVALUE(RIGHT(#REF!,5))-TIMEVALUE(LEFT(#REF!,5)),0))</f>
        <v>0</v>
      </c>
      <c r="M211" s="3" cm="1">
        <f t="array" ref="M211">SUMPRODUCT(IFERROR(TIMEVALUE(RIGHT(E211:K211,5))-TIMEVALUE(LEFT(E211:K211,5)),0))</f>
        <v>1.7708333333333335</v>
      </c>
    </row>
    <row r="212" spans="1:13">
      <c r="A212" s="10" t="s">
        <v>255</v>
      </c>
      <c r="B212" s="11"/>
      <c r="C212" s="11"/>
      <c r="D212" s="10"/>
      <c r="E212" s="22" t="s">
        <v>7</v>
      </c>
      <c r="F212" s="22" t="s">
        <v>7</v>
      </c>
      <c r="G212" s="22" t="s">
        <v>7</v>
      </c>
      <c r="H212" s="22" t="s">
        <v>7</v>
      </c>
      <c r="I212" s="22" t="s">
        <v>7</v>
      </c>
      <c r="J212" s="11" t="s">
        <v>8</v>
      </c>
      <c r="K212" s="11" t="s">
        <v>8</v>
      </c>
      <c r="L212" s="8" cm="1">
        <f t="array" ref="L212">SUMPRODUCT(IFERROR(TIMEVALUE(RIGHT(#REF!,5))-TIMEVALUE(LEFT(#REF!,5)),0))</f>
        <v>0</v>
      </c>
      <c r="M212" s="3" cm="1">
        <f t="array" ref="M212">SUMPRODUCT(IFERROR(TIMEVALUE(RIGHT(E212:K212,5))-TIMEVALUE(LEFT(E212:K212,5)),0))</f>
        <v>1.7708333333333335</v>
      </c>
    </row>
    <row r="213" spans="1:13">
      <c r="A213" s="10" t="s">
        <v>256</v>
      </c>
      <c r="B213" s="11"/>
      <c r="C213" s="11"/>
      <c r="D213" s="10"/>
      <c r="E213" s="22" t="s">
        <v>8</v>
      </c>
      <c r="F213" s="22" t="s">
        <v>22</v>
      </c>
      <c r="G213" s="22" t="s">
        <v>22</v>
      </c>
      <c r="H213" s="22" t="s">
        <v>22</v>
      </c>
      <c r="I213" s="22" t="s">
        <v>22</v>
      </c>
      <c r="J213" s="11" t="s">
        <v>22</v>
      </c>
      <c r="K213" s="11" t="s">
        <v>8</v>
      </c>
      <c r="L213" s="8" cm="1">
        <f t="array" ref="L213">SUMPRODUCT(IFERROR(TIMEVALUE(RIGHT(#REF!,5))-TIMEVALUE(LEFT(#REF!,5)),0))</f>
        <v>0</v>
      </c>
      <c r="M213" s="3" cm="1">
        <f t="array" ref="M213">SUMPRODUCT(IFERROR(TIMEVALUE(RIGHT(E213:K213,5))-TIMEVALUE(LEFT(E213:K213,5)),0))</f>
        <v>1.7708333333333335</v>
      </c>
    </row>
    <row r="214" spans="1:13">
      <c r="A214" s="10" t="s">
        <v>257</v>
      </c>
      <c r="B214" s="11"/>
      <c r="C214" s="11"/>
      <c r="D214" s="10"/>
      <c r="E214" s="22" t="s">
        <v>7</v>
      </c>
      <c r="F214" s="22" t="s">
        <v>7</v>
      </c>
      <c r="G214" s="22" t="s">
        <v>7</v>
      </c>
      <c r="H214" s="22" t="s">
        <v>7</v>
      </c>
      <c r="I214" s="22" t="s">
        <v>7</v>
      </c>
      <c r="J214" s="11" t="s">
        <v>8</v>
      </c>
      <c r="K214" s="11" t="s">
        <v>8</v>
      </c>
      <c r="L214" s="8" cm="1">
        <f t="array" ref="L214">SUMPRODUCT(IFERROR(TIMEVALUE(RIGHT(#REF!,5))-TIMEVALUE(LEFT(#REF!,5)),0))</f>
        <v>0</v>
      </c>
      <c r="M214" s="3" cm="1">
        <f t="array" ref="M214">SUMPRODUCT(IFERROR(TIMEVALUE(RIGHT(E214:K214,5))-TIMEVALUE(LEFT(E214:K214,5)),0))</f>
        <v>1.7708333333333335</v>
      </c>
    </row>
    <row r="215" spans="1:13">
      <c r="A215" s="10" t="s">
        <v>258</v>
      </c>
      <c r="B215" s="11"/>
      <c r="C215" s="11"/>
      <c r="D215" s="10"/>
      <c r="E215" s="22" t="s">
        <v>22</v>
      </c>
      <c r="F215" s="22" t="s">
        <v>22</v>
      </c>
      <c r="G215" s="22" t="s">
        <v>22</v>
      </c>
      <c r="H215" s="22" t="s">
        <v>22</v>
      </c>
      <c r="I215" s="22" t="s">
        <v>22</v>
      </c>
      <c r="J215" s="11" t="s">
        <v>8</v>
      </c>
      <c r="K215" s="11" t="s">
        <v>8</v>
      </c>
      <c r="L215" s="8" cm="1">
        <f t="array" ref="L215">SUMPRODUCT(IFERROR(TIMEVALUE(RIGHT(#REF!,5))-TIMEVALUE(LEFT(#REF!,5)),0))</f>
        <v>0</v>
      </c>
      <c r="M215" s="3" cm="1">
        <f t="array" ref="M215">SUMPRODUCT(IFERROR(TIMEVALUE(RIGHT(E215:K215,5))-TIMEVALUE(LEFT(E215:K215,5)),0))</f>
        <v>1.7708333333333335</v>
      </c>
    </row>
    <row r="216" spans="1:13">
      <c r="A216" s="10" t="s">
        <v>259</v>
      </c>
      <c r="B216" s="11"/>
      <c r="C216" s="11"/>
      <c r="D216" s="10"/>
      <c r="E216" s="22" t="s">
        <v>22</v>
      </c>
      <c r="F216" s="22" t="s">
        <v>22</v>
      </c>
      <c r="G216" s="22" t="s">
        <v>8</v>
      </c>
      <c r="H216" s="22" t="s">
        <v>8</v>
      </c>
      <c r="I216" s="22" t="s">
        <v>22</v>
      </c>
      <c r="J216" s="11" t="s">
        <v>22</v>
      </c>
      <c r="K216" s="11" t="s">
        <v>22</v>
      </c>
      <c r="L216" s="8" cm="1">
        <f t="array" ref="L216">SUMPRODUCT(IFERROR(TIMEVALUE(RIGHT(#REF!,5))-TIMEVALUE(LEFT(#REF!,5)),0))</f>
        <v>0</v>
      </c>
      <c r="M216" s="3" cm="1">
        <f t="array" ref="M216">SUMPRODUCT(IFERROR(TIMEVALUE(RIGHT(E216:K216,5))-TIMEVALUE(LEFT(E216:K216,5)),0))</f>
        <v>1.7708333333333335</v>
      </c>
    </row>
    <row r="217" spans="1:13">
      <c r="A217" s="10" t="s">
        <v>260</v>
      </c>
      <c r="B217" s="11"/>
      <c r="C217" s="11"/>
      <c r="D217" s="10"/>
      <c r="E217" s="22" t="s">
        <v>27</v>
      </c>
      <c r="F217" s="22" t="s">
        <v>27</v>
      </c>
      <c r="G217" s="22" t="s">
        <v>27</v>
      </c>
      <c r="H217" s="22" t="s">
        <v>8</v>
      </c>
      <c r="I217" s="22" t="s">
        <v>8</v>
      </c>
      <c r="J217" s="11" t="s">
        <v>27</v>
      </c>
      <c r="K217" s="11" t="s">
        <v>27</v>
      </c>
      <c r="L217" s="8" cm="1">
        <f t="array" ref="L217">SUMPRODUCT(IFERROR(TIMEVALUE(RIGHT(#REF!,5))-TIMEVALUE(LEFT(#REF!,5)),0))</f>
        <v>0</v>
      </c>
      <c r="M217" s="3" cm="1">
        <f t="array" ref="M217">SUMPRODUCT(IFERROR(TIMEVALUE(RIGHT(E217:K217,5))-TIMEVALUE(LEFT(E217:K217,5)),0))</f>
        <v>1.7708333333333335</v>
      </c>
    </row>
    <row r="218" spans="1:13">
      <c r="A218" s="10" t="s">
        <v>261</v>
      </c>
      <c r="B218" s="11" t="s">
        <v>262</v>
      </c>
      <c r="C218" s="11"/>
      <c r="D218" s="10"/>
      <c r="E218" s="21" t="s">
        <v>27</v>
      </c>
      <c r="F218" s="21" t="s">
        <v>27</v>
      </c>
      <c r="G218" s="21" t="s">
        <v>27</v>
      </c>
      <c r="H218" s="21" t="s">
        <v>27</v>
      </c>
      <c r="I218" s="21" t="s">
        <v>27</v>
      </c>
      <c r="J218" s="22" t="s">
        <v>8</v>
      </c>
      <c r="K218" s="22" t="s">
        <v>8</v>
      </c>
      <c r="L218" s="8" cm="1">
        <f t="array" ref="L218">SUMPRODUCT(IFERROR(TIMEVALUE(RIGHT(#REF!,5))-TIMEVALUE(LEFT(#REF!,5)),0))</f>
        <v>0</v>
      </c>
      <c r="M218" s="3" cm="1">
        <f t="array" ref="M218">SUMPRODUCT(IFERROR(TIMEVALUE(RIGHT(E218:K218,5))-TIMEVALUE(LEFT(E218:K218,5)),0))</f>
        <v>1.7708333333333335</v>
      </c>
    </row>
    <row r="219" spans="1:13">
      <c r="A219" s="10" t="s">
        <v>263</v>
      </c>
      <c r="B219" s="11" t="s">
        <v>262</v>
      </c>
      <c r="C219" s="11"/>
      <c r="D219" s="10"/>
      <c r="E219" s="21" t="s">
        <v>27</v>
      </c>
      <c r="F219" s="21" t="s">
        <v>27</v>
      </c>
      <c r="G219" s="21" t="s">
        <v>27</v>
      </c>
      <c r="H219" s="21" t="s">
        <v>27</v>
      </c>
      <c r="I219" s="21" t="s">
        <v>27</v>
      </c>
      <c r="J219" s="22" t="s">
        <v>8</v>
      </c>
      <c r="K219" s="22" t="s">
        <v>8</v>
      </c>
      <c r="L219" s="8" cm="1">
        <f t="array" ref="L219">SUMPRODUCT(IFERROR(TIMEVALUE(RIGHT(#REF!,5))-TIMEVALUE(LEFT(#REF!,5)),0))</f>
        <v>0</v>
      </c>
      <c r="M219" s="3" cm="1">
        <f t="array" ref="M219">SUMPRODUCT(IFERROR(TIMEVALUE(RIGHT(E219:K219,5))-TIMEVALUE(LEFT(E219:K219,5)),0))</f>
        <v>1.7708333333333335</v>
      </c>
    </row>
    <row r="220" spans="1:13">
      <c r="A220" s="10" t="s">
        <v>264</v>
      </c>
      <c r="B220" s="11" t="s">
        <v>262</v>
      </c>
      <c r="C220" s="11"/>
      <c r="D220" s="10"/>
      <c r="E220" s="21" t="s">
        <v>27</v>
      </c>
      <c r="F220" s="21" t="s">
        <v>27</v>
      </c>
      <c r="G220" s="21" t="s">
        <v>27</v>
      </c>
      <c r="H220" s="21" t="s">
        <v>27</v>
      </c>
      <c r="I220" s="21" t="s">
        <v>27</v>
      </c>
      <c r="J220" s="22" t="s">
        <v>8</v>
      </c>
      <c r="K220" s="22" t="s">
        <v>8</v>
      </c>
      <c r="L220" s="8" cm="1">
        <f t="array" ref="L220">SUMPRODUCT(IFERROR(TIMEVALUE(RIGHT(#REF!,5))-TIMEVALUE(LEFT(#REF!,5)),0))</f>
        <v>0</v>
      </c>
      <c r="M220" s="3" cm="1">
        <f t="array" ref="M220">SUMPRODUCT(IFERROR(TIMEVALUE(RIGHT(E220:K220,5))-TIMEVALUE(LEFT(E220:K220,5)),0))</f>
        <v>1.7708333333333335</v>
      </c>
    </row>
    <row r="221" spans="1:13">
      <c r="A221" s="10" t="s">
        <v>265</v>
      </c>
      <c r="B221" s="11" t="s">
        <v>262</v>
      </c>
      <c r="C221" s="11"/>
      <c r="D221" s="10"/>
      <c r="E221" s="21" t="s">
        <v>27</v>
      </c>
      <c r="F221" s="21" t="s">
        <v>27</v>
      </c>
      <c r="G221" s="21" t="s">
        <v>27</v>
      </c>
      <c r="H221" s="21" t="s">
        <v>27</v>
      </c>
      <c r="I221" s="21" t="s">
        <v>27</v>
      </c>
      <c r="J221" s="22" t="s">
        <v>8</v>
      </c>
      <c r="K221" s="22" t="s">
        <v>8</v>
      </c>
      <c r="L221" s="8" cm="1">
        <f t="array" ref="L221">SUMPRODUCT(IFERROR(TIMEVALUE(RIGHT(#REF!,5))-TIMEVALUE(LEFT(#REF!,5)),0))</f>
        <v>0</v>
      </c>
      <c r="M221" s="3" cm="1">
        <f t="array" ref="M221">SUMPRODUCT(IFERROR(TIMEVALUE(RIGHT(E221:K221,5))-TIMEVALUE(LEFT(E221:K221,5)),0))</f>
        <v>1.7708333333333335</v>
      </c>
    </row>
    <row r="222" spans="1:13">
      <c r="A222" s="10" t="s">
        <v>266</v>
      </c>
      <c r="B222" s="11" t="s">
        <v>262</v>
      </c>
      <c r="C222" s="11"/>
      <c r="D222" s="10"/>
      <c r="E222" s="21" t="s">
        <v>27</v>
      </c>
      <c r="F222" s="21" t="s">
        <v>27</v>
      </c>
      <c r="G222" s="21" t="s">
        <v>27</v>
      </c>
      <c r="H222" s="21" t="s">
        <v>27</v>
      </c>
      <c r="I222" s="21" t="s">
        <v>27</v>
      </c>
      <c r="J222" s="22" t="s">
        <v>8</v>
      </c>
      <c r="K222" s="22" t="s">
        <v>8</v>
      </c>
      <c r="L222" s="8" cm="1">
        <f t="array" ref="L222">SUMPRODUCT(IFERROR(TIMEVALUE(RIGHT(#REF!,5))-TIMEVALUE(LEFT(#REF!,5)),0))</f>
        <v>0</v>
      </c>
      <c r="M222" s="3" cm="1">
        <f t="array" ref="M222">SUMPRODUCT(IFERROR(TIMEVALUE(RIGHT(E222:K222,5))-TIMEVALUE(LEFT(E222:K222,5)),0))</f>
        <v>1.7708333333333335</v>
      </c>
    </row>
    <row r="223" spans="1:13">
      <c r="A223" s="10" t="s">
        <v>267</v>
      </c>
      <c r="B223" s="11" t="s">
        <v>262</v>
      </c>
      <c r="C223" s="11"/>
      <c r="D223" s="10"/>
      <c r="E223" s="21" t="s">
        <v>27</v>
      </c>
      <c r="F223" s="21" t="s">
        <v>27</v>
      </c>
      <c r="G223" s="21" t="s">
        <v>27</v>
      </c>
      <c r="H223" s="21" t="s">
        <v>27</v>
      </c>
      <c r="I223" s="21" t="s">
        <v>27</v>
      </c>
      <c r="J223" s="22" t="s">
        <v>8</v>
      </c>
      <c r="K223" s="22" t="s">
        <v>8</v>
      </c>
      <c r="L223" s="8" cm="1">
        <f t="array" ref="L223">SUMPRODUCT(IFERROR(TIMEVALUE(RIGHT(#REF!,5))-TIMEVALUE(LEFT(#REF!,5)),0))</f>
        <v>0</v>
      </c>
      <c r="M223" s="3" cm="1">
        <f t="array" ref="M223">SUMPRODUCT(IFERROR(TIMEVALUE(RIGHT(E223:K223,5))-TIMEVALUE(LEFT(E223:K223,5)),0))</f>
        <v>1.7708333333333335</v>
      </c>
    </row>
    <row r="224" spans="1:13">
      <c r="A224" s="10" t="s">
        <v>268</v>
      </c>
      <c r="B224" s="11" t="s">
        <v>262</v>
      </c>
      <c r="C224" s="11"/>
      <c r="D224" s="10"/>
      <c r="E224" s="21" t="s">
        <v>27</v>
      </c>
      <c r="F224" s="21" t="s">
        <v>27</v>
      </c>
      <c r="G224" s="21" t="s">
        <v>27</v>
      </c>
      <c r="H224" s="21" t="s">
        <v>27</v>
      </c>
      <c r="I224" s="21" t="s">
        <v>27</v>
      </c>
      <c r="J224" s="22" t="s">
        <v>8</v>
      </c>
      <c r="K224" s="22" t="s">
        <v>8</v>
      </c>
      <c r="L224" s="8" cm="1">
        <f t="array" ref="L224">SUMPRODUCT(IFERROR(TIMEVALUE(RIGHT(#REF!,5))-TIMEVALUE(LEFT(#REF!,5)),0))</f>
        <v>0</v>
      </c>
      <c r="M224" s="3" cm="1">
        <f t="array" ref="M224">SUMPRODUCT(IFERROR(TIMEVALUE(RIGHT(E224:K224,5))-TIMEVALUE(LEFT(E224:K224,5)),0))</f>
        <v>1.7708333333333335</v>
      </c>
    </row>
    <row r="225" spans="1:13">
      <c r="A225" s="10" t="s">
        <v>269</v>
      </c>
      <c r="B225" s="11" t="s">
        <v>262</v>
      </c>
      <c r="C225" s="11"/>
      <c r="D225" s="10"/>
      <c r="E225" s="21" t="s">
        <v>27</v>
      </c>
      <c r="F225" s="21" t="s">
        <v>27</v>
      </c>
      <c r="G225" s="21" t="s">
        <v>27</v>
      </c>
      <c r="H225" s="21" t="s">
        <v>27</v>
      </c>
      <c r="I225" s="21" t="s">
        <v>27</v>
      </c>
      <c r="J225" s="22" t="s">
        <v>8</v>
      </c>
      <c r="K225" s="22" t="s">
        <v>8</v>
      </c>
      <c r="L225" s="8" cm="1">
        <f t="array" ref="L225">SUMPRODUCT(IFERROR(TIMEVALUE(RIGHT(#REF!,5))-TIMEVALUE(LEFT(#REF!,5)),0))</f>
        <v>0</v>
      </c>
      <c r="M225" s="3" cm="1">
        <f t="array" ref="M225">SUMPRODUCT(IFERROR(TIMEVALUE(RIGHT(E225:K225,5))-TIMEVALUE(LEFT(E225:K225,5)),0))</f>
        <v>1.7708333333333335</v>
      </c>
    </row>
    <row r="226" spans="1:13">
      <c r="A226" s="10" t="s">
        <v>270</v>
      </c>
      <c r="B226" s="11" t="s">
        <v>262</v>
      </c>
      <c r="C226" s="11"/>
      <c r="D226" s="10"/>
      <c r="E226" s="21" t="s">
        <v>27</v>
      </c>
      <c r="F226" s="21" t="s">
        <v>27</v>
      </c>
      <c r="G226" s="21" t="s">
        <v>27</v>
      </c>
      <c r="H226" s="21" t="s">
        <v>27</v>
      </c>
      <c r="I226" s="21" t="s">
        <v>27</v>
      </c>
      <c r="J226" s="22" t="s">
        <v>8</v>
      </c>
      <c r="K226" s="22" t="s">
        <v>8</v>
      </c>
      <c r="L226" s="8" cm="1">
        <f t="array" ref="L226">SUMPRODUCT(IFERROR(TIMEVALUE(RIGHT(#REF!,5))-TIMEVALUE(LEFT(#REF!,5)),0))</f>
        <v>0</v>
      </c>
      <c r="M226" s="3" cm="1">
        <f t="array" ref="M226">SUMPRODUCT(IFERROR(TIMEVALUE(RIGHT(E226:K226,5))-TIMEVALUE(LEFT(E226:K226,5)),0))</f>
        <v>1.7708333333333335</v>
      </c>
    </row>
    <row r="227" spans="1:13">
      <c r="A227" s="10" t="s">
        <v>271</v>
      </c>
      <c r="B227" s="11" t="s">
        <v>262</v>
      </c>
      <c r="C227" s="11"/>
      <c r="D227" s="10"/>
      <c r="E227" s="21" t="s">
        <v>27</v>
      </c>
      <c r="F227" s="21" t="s">
        <v>27</v>
      </c>
      <c r="G227" s="21" t="s">
        <v>27</v>
      </c>
      <c r="H227" s="21" t="s">
        <v>27</v>
      </c>
      <c r="I227" s="21" t="s">
        <v>27</v>
      </c>
      <c r="J227" s="22" t="s">
        <v>8</v>
      </c>
      <c r="K227" s="22" t="s">
        <v>8</v>
      </c>
      <c r="L227" s="8" cm="1">
        <f t="array" ref="L227">SUMPRODUCT(IFERROR(TIMEVALUE(RIGHT(#REF!,5))-TIMEVALUE(LEFT(#REF!,5)),0))</f>
        <v>0</v>
      </c>
      <c r="M227" s="3" cm="1">
        <f t="array" ref="M227">SUMPRODUCT(IFERROR(TIMEVALUE(RIGHT(E227:K227,5))-TIMEVALUE(LEFT(E227:K227,5)),0))</f>
        <v>1.7708333333333335</v>
      </c>
    </row>
    <row r="228" spans="1:13">
      <c r="A228" s="10" t="s">
        <v>272</v>
      </c>
      <c r="B228" s="11" t="s">
        <v>262</v>
      </c>
      <c r="C228" s="11"/>
      <c r="D228" s="10"/>
      <c r="E228" s="21" t="s">
        <v>27</v>
      </c>
      <c r="F228" s="21" t="s">
        <v>27</v>
      </c>
      <c r="G228" s="21" t="s">
        <v>27</v>
      </c>
      <c r="H228" s="21" t="s">
        <v>27</v>
      </c>
      <c r="I228" s="21" t="s">
        <v>27</v>
      </c>
      <c r="J228" s="22" t="s">
        <v>8</v>
      </c>
      <c r="K228" s="22" t="s">
        <v>8</v>
      </c>
      <c r="L228" s="8" cm="1">
        <f t="array" ref="L228">SUMPRODUCT(IFERROR(TIMEVALUE(RIGHT(#REF!,5))-TIMEVALUE(LEFT(#REF!,5)),0))</f>
        <v>0</v>
      </c>
      <c r="M228" s="3" cm="1">
        <f t="array" ref="M228">SUMPRODUCT(IFERROR(TIMEVALUE(RIGHT(E228:K228,5))-TIMEVALUE(LEFT(E228:K228,5)),0))</f>
        <v>1.7708333333333335</v>
      </c>
    </row>
    <row r="229" spans="1:13">
      <c r="A229" s="10" t="s">
        <v>273</v>
      </c>
      <c r="B229" s="11" t="s">
        <v>262</v>
      </c>
      <c r="C229" s="11"/>
      <c r="D229" s="10"/>
      <c r="E229" s="21" t="s">
        <v>27</v>
      </c>
      <c r="F229" s="21" t="s">
        <v>27</v>
      </c>
      <c r="G229" s="21" t="s">
        <v>27</v>
      </c>
      <c r="H229" s="21" t="s">
        <v>27</v>
      </c>
      <c r="I229" s="21" t="s">
        <v>27</v>
      </c>
      <c r="J229" s="22" t="s">
        <v>8</v>
      </c>
      <c r="K229" s="22" t="s">
        <v>8</v>
      </c>
      <c r="L229" s="8" cm="1">
        <f t="array" ref="L229">SUMPRODUCT(IFERROR(TIMEVALUE(RIGHT(#REF!,5))-TIMEVALUE(LEFT(#REF!,5)),0))</f>
        <v>0</v>
      </c>
      <c r="M229" s="3" cm="1">
        <f t="array" ref="M229">SUMPRODUCT(IFERROR(TIMEVALUE(RIGHT(E229:K229,5))-TIMEVALUE(LEFT(E229:K229,5)),0))</f>
        <v>1.7708333333333335</v>
      </c>
    </row>
    <row r="230" spans="1:13">
      <c r="A230" s="10" t="s">
        <v>274</v>
      </c>
      <c r="B230" s="11" t="s">
        <v>262</v>
      </c>
      <c r="C230" s="11"/>
      <c r="D230" s="10"/>
      <c r="E230" s="21" t="s">
        <v>27</v>
      </c>
      <c r="F230" s="21" t="s">
        <v>27</v>
      </c>
      <c r="G230" s="21" t="s">
        <v>27</v>
      </c>
      <c r="H230" s="21" t="s">
        <v>27</v>
      </c>
      <c r="I230" s="21" t="s">
        <v>27</v>
      </c>
      <c r="J230" s="22" t="s">
        <v>8</v>
      </c>
      <c r="K230" s="22" t="s">
        <v>8</v>
      </c>
      <c r="L230" s="8" cm="1">
        <f t="array" ref="L230">SUMPRODUCT(IFERROR(TIMEVALUE(RIGHT(#REF!,5))-TIMEVALUE(LEFT(#REF!,5)),0))</f>
        <v>0</v>
      </c>
      <c r="M230" s="3" cm="1">
        <f t="array" ref="M230">SUMPRODUCT(IFERROR(TIMEVALUE(RIGHT(E230:K230,5))-TIMEVALUE(LEFT(E230:K230,5)),0))</f>
        <v>1.7708333333333335</v>
      </c>
    </row>
    <row r="231" spans="1:13">
      <c r="A231" s="10" t="s">
        <v>275</v>
      </c>
      <c r="B231" s="11" t="s">
        <v>262</v>
      </c>
      <c r="C231" s="11"/>
      <c r="D231" s="10"/>
      <c r="E231" s="21" t="s">
        <v>27</v>
      </c>
      <c r="F231" s="21" t="s">
        <v>27</v>
      </c>
      <c r="G231" s="21" t="s">
        <v>27</v>
      </c>
      <c r="H231" s="21" t="s">
        <v>27</v>
      </c>
      <c r="I231" s="21" t="s">
        <v>27</v>
      </c>
      <c r="J231" s="22" t="s">
        <v>8</v>
      </c>
      <c r="K231" s="22" t="s">
        <v>8</v>
      </c>
      <c r="L231" s="8" cm="1">
        <f t="array" ref="L231">SUMPRODUCT(IFERROR(TIMEVALUE(RIGHT(#REF!,5))-TIMEVALUE(LEFT(#REF!,5)),0))</f>
        <v>0</v>
      </c>
      <c r="M231" s="3" cm="1">
        <f t="array" ref="M231">SUMPRODUCT(IFERROR(TIMEVALUE(RIGHT(E231:K231,5))-TIMEVALUE(LEFT(E231:K231,5)),0))</f>
        <v>1.7708333333333335</v>
      </c>
    </row>
    <row r="232" spans="1:13">
      <c r="A232" s="10" t="s">
        <v>276</v>
      </c>
      <c r="B232" s="11" t="s">
        <v>262</v>
      </c>
      <c r="C232" s="11"/>
      <c r="D232" s="10"/>
      <c r="E232" s="21" t="s">
        <v>27</v>
      </c>
      <c r="F232" s="21" t="s">
        <v>27</v>
      </c>
      <c r="G232" s="21" t="s">
        <v>27</v>
      </c>
      <c r="H232" s="21" t="s">
        <v>27</v>
      </c>
      <c r="I232" s="21" t="s">
        <v>27</v>
      </c>
      <c r="J232" s="22" t="s">
        <v>8</v>
      </c>
      <c r="K232" s="22" t="s">
        <v>8</v>
      </c>
      <c r="L232" s="8" cm="1">
        <f t="array" ref="L232">SUMPRODUCT(IFERROR(TIMEVALUE(RIGHT(#REF!,5))-TIMEVALUE(LEFT(#REF!,5)),0))</f>
        <v>0</v>
      </c>
      <c r="M232" s="3" cm="1">
        <f t="array" ref="M232">SUMPRODUCT(IFERROR(TIMEVALUE(RIGHT(E232:K232,5))-TIMEVALUE(LEFT(E232:K232,5)),0))</f>
        <v>1.7708333333333335</v>
      </c>
    </row>
    <row r="233" spans="1:13">
      <c r="A233" s="10" t="s">
        <v>277</v>
      </c>
      <c r="B233" s="11" t="s">
        <v>262</v>
      </c>
      <c r="C233" s="11"/>
      <c r="D233" s="10"/>
      <c r="E233" s="21" t="s">
        <v>27</v>
      </c>
      <c r="F233" s="21" t="s">
        <v>27</v>
      </c>
      <c r="G233" s="21" t="s">
        <v>27</v>
      </c>
      <c r="H233" s="21" t="s">
        <v>27</v>
      </c>
      <c r="I233" s="21" t="s">
        <v>27</v>
      </c>
      <c r="J233" s="22" t="s">
        <v>8</v>
      </c>
      <c r="K233" s="22" t="s">
        <v>8</v>
      </c>
      <c r="L233" s="8" cm="1">
        <f t="array" ref="L233">SUMPRODUCT(IFERROR(TIMEVALUE(RIGHT(#REF!,5))-TIMEVALUE(LEFT(#REF!,5)),0))</f>
        <v>0</v>
      </c>
      <c r="M233" s="3" cm="1">
        <f t="array" ref="M233">SUMPRODUCT(IFERROR(TIMEVALUE(RIGHT(E233:K233,5))-TIMEVALUE(LEFT(E233:K233,5)),0))</f>
        <v>1.7708333333333335</v>
      </c>
    </row>
    <row r="234" spans="1:13">
      <c r="A234" s="10" t="s">
        <v>278</v>
      </c>
      <c r="B234" s="11" t="s">
        <v>262</v>
      </c>
      <c r="C234" s="11"/>
      <c r="D234" s="10"/>
      <c r="E234" s="21" t="s">
        <v>27</v>
      </c>
      <c r="F234" s="21" t="s">
        <v>27</v>
      </c>
      <c r="G234" s="21" t="s">
        <v>27</v>
      </c>
      <c r="H234" s="21" t="s">
        <v>27</v>
      </c>
      <c r="I234" s="21" t="s">
        <v>27</v>
      </c>
      <c r="J234" s="22" t="s">
        <v>8</v>
      </c>
      <c r="K234" s="22" t="s">
        <v>8</v>
      </c>
      <c r="L234" s="8" cm="1">
        <f t="array" ref="L234">SUMPRODUCT(IFERROR(TIMEVALUE(RIGHT(#REF!,5))-TIMEVALUE(LEFT(#REF!,5)),0))</f>
        <v>0</v>
      </c>
      <c r="M234" s="3" cm="1">
        <f t="array" ref="M234">SUMPRODUCT(IFERROR(TIMEVALUE(RIGHT(E234:K234,5))-TIMEVALUE(LEFT(E234:K234,5)),0))</f>
        <v>1.7708333333333335</v>
      </c>
    </row>
    <row r="235" spans="1:13">
      <c r="A235" s="10" t="s">
        <v>279</v>
      </c>
      <c r="B235" s="11" t="s">
        <v>262</v>
      </c>
      <c r="C235" s="11"/>
      <c r="D235" s="10"/>
      <c r="E235" s="21" t="s">
        <v>27</v>
      </c>
      <c r="F235" s="21" t="s">
        <v>27</v>
      </c>
      <c r="G235" s="21" t="s">
        <v>27</v>
      </c>
      <c r="H235" s="21" t="s">
        <v>27</v>
      </c>
      <c r="I235" s="21" t="s">
        <v>27</v>
      </c>
      <c r="J235" s="22" t="s">
        <v>8</v>
      </c>
      <c r="K235" s="22" t="s">
        <v>8</v>
      </c>
      <c r="L235" s="8" cm="1">
        <f t="array" ref="L235">SUMPRODUCT(IFERROR(TIMEVALUE(RIGHT(#REF!,5))-TIMEVALUE(LEFT(#REF!,5)),0))</f>
        <v>0</v>
      </c>
      <c r="M235" s="3" cm="1">
        <f t="array" ref="M235">SUMPRODUCT(IFERROR(TIMEVALUE(RIGHT(E235:K235,5))-TIMEVALUE(LEFT(E235:K235,5)),0))</f>
        <v>1.7708333333333335</v>
      </c>
    </row>
    <row r="236" spans="1:13">
      <c r="A236" s="10" t="s">
        <v>280</v>
      </c>
      <c r="B236" s="11" t="s">
        <v>262</v>
      </c>
      <c r="C236" s="11"/>
      <c r="D236" s="10"/>
      <c r="E236" s="21" t="s">
        <v>27</v>
      </c>
      <c r="F236" s="21" t="s">
        <v>27</v>
      </c>
      <c r="G236" s="21" t="s">
        <v>27</v>
      </c>
      <c r="H236" s="21" t="s">
        <v>27</v>
      </c>
      <c r="I236" s="21" t="s">
        <v>27</v>
      </c>
      <c r="J236" s="22" t="s">
        <v>8</v>
      </c>
      <c r="K236" s="22" t="s">
        <v>8</v>
      </c>
      <c r="L236" s="8" cm="1">
        <f t="array" ref="L236">SUMPRODUCT(IFERROR(TIMEVALUE(RIGHT(#REF!,5))-TIMEVALUE(LEFT(#REF!,5)),0))</f>
        <v>0</v>
      </c>
      <c r="M236" s="3" cm="1">
        <f t="array" ref="M236">SUMPRODUCT(IFERROR(TIMEVALUE(RIGHT(E236:K236,5))-TIMEVALUE(LEFT(E236:K236,5)),0))</f>
        <v>1.7708333333333335</v>
      </c>
    </row>
    <row r="237" spans="1:13">
      <c r="A237" s="10" t="s">
        <v>281</v>
      </c>
      <c r="B237" s="11" t="s">
        <v>262</v>
      </c>
      <c r="C237" s="11"/>
      <c r="D237" s="10"/>
      <c r="E237" s="21" t="s">
        <v>27</v>
      </c>
      <c r="F237" s="21" t="s">
        <v>27</v>
      </c>
      <c r="G237" s="21" t="s">
        <v>27</v>
      </c>
      <c r="H237" s="21" t="s">
        <v>27</v>
      </c>
      <c r="I237" s="21" t="s">
        <v>27</v>
      </c>
      <c r="J237" s="22" t="s">
        <v>8</v>
      </c>
      <c r="K237" s="22" t="s">
        <v>8</v>
      </c>
      <c r="L237" s="8" cm="1">
        <f t="array" ref="L237">SUMPRODUCT(IFERROR(TIMEVALUE(RIGHT(#REF!,5))-TIMEVALUE(LEFT(#REF!,5)),0))</f>
        <v>0</v>
      </c>
      <c r="M237" s="3" cm="1">
        <f t="array" ref="M237">SUMPRODUCT(IFERROR(TIMEVALUE(RIGHT(E237:K237,5))-TIMEVALUE(LEFT(E237:K237,5)),0))</f>
        <v>1.7708333333333335</v>
      </c>
    </row>
    <row r="238" spans="1:13">
      <c r="A238" s="10" t="s">
        <v>282</v>
      </c>
      <c r="B238" s="11" t="s">
        <v>262</v>
      </c>
      <c r="C238" s="11"/>
      <c r="D238" s="10"/>
      <c r="E238" s="21" t="s">
        <v>27</v>
      </c>
      <c r="F238" s="21" t="s">
        <v>27</v>
      </c>
      <c r="G238" s="21" t="s">
        <v>27</v>
      </c>
      <c r="H238" s="21" t="s">
        <v>27</v>
      </c>
      <c r="I238" s="21" t="s">
        <v>27</v>
      </c>
      <c r="J238" s="22" t="s">
        <v>8</v>
      </c>
      <c r="K238" s="22" t="s">
        <v>8</v>
      </c>
      <c r="L238" s="8" cm="1">
        <f t="array" ref="L238">SUMPRODUCT(IFERROR(TIMEVALUE(RIGHT(#REF!,5))-TIMEVALUE(LEFT(#REF!,5)),0))</f>
        <v>0</v>
      </c>
      <c r="M238" s="3" cm="1">
        <f t="array" ref="M238">SUMPRODUCT(IFERROR(TIMEVALUE(RIGHT(E238:K238,5))-TIMEVALUE(LEFT(E238:K238,5)),0))</f>
        <v>1.7708333333333335</v>
      </c>
    </row>
    <row r="239" spans="1:13">
      <c r="A239" s="10" t="s">
        <v>283</v>
      </c>
      <c r="B239" s="11" t="s">
        <v>262</v>
      </c>
      <c r="C239" s="11"/>
      <c r="D239" s="10"/>
      <c r="E239" s="21" t="s">
        <v>27</v>
      </c>
      <c r="F239" s="21" t="s">
        <v>27</v>
      </c>
      <c r="G239" s="21" t="s">
        <v>27</v>
      </c>
      <c r="H239" s="21" t="s">
        <v>27</v>
      </c>
      <c r="I239" s="21" t="s">
        <v>27</v>
      </c>
      <c r="J239" s="22" t="s">
        <v>8</v>
      </c>
      <c r="K239" s="22" t="s">
        <v>8</v>
      </c>
      <c r="L239" s="8" cm="1">
        <f t="array" ref="L239">SUMPRODUCT(IFERROR(TIMEVALUE(RIGHT(#REF!,5))-TIMEVALUE(LEFT(#REF!,5)),0))</f>
        <v>0</v>
      </c>
      <c r="M239" s="3" cm="1">
        <f t="array" ref="M239">SUMPRODUCT(IFERROR(TIMEVALUE(RIGHT(E239:K239,5))-TIMEVALUE(LEFT(E239:K239,5)),0))</f>
        <v>1.7708333333333335</v>
      </c>
    </row>
    <row r="240" spans="1:13">
      <c r="A240" s="10" t="s">
        <v>284</v>
      </c>
      <c r="B240" s="11" t="s">
        <v>262</v>
      </c>
      <c r="C240" s="11"/>
      <c r="D240" s="10"/>
      <c r="E240" s="21" t="s">
        <v>27</v>
      </c>
      <c r="F240" s="21" t="s">
        <v>27</v>
      </c>
      <c r="G240" s="21" t="s">
        <v>27</v>
      </c>
      <c r="H240" s="21" t="s">
        <v>27</v>
      </c>
      <c r="I240" s="21" t="s">
        <v>27</v>
      </c>
      <c r="J240" s="22" t="s">
        <v>8</v>
      </c>
      <c r="K240" s="22" t="s">
        <v>8</v>
      </c>
      <c r="L240" s="8" cm="1">
        <f t="array" ref="L240">SUMPRODUCT(IFERROR(TIMEVALUE(RIGHT(#REF!,5))-TIMEVALUE(LEFT(#REF!,5)),0))</f>
        <v>0</v>
      </c>
      <c r="M240" s="3" cm="1">
        <f t="array" ref="M240">SUMPRODUCT(IFERROR(TIMEVALUE(RIGHT(E240:K240,5))-TIMEVALUE(LEFT(E240:K240,5)),0))</f>
        <v>1.7708333333333335</v>
      </c>
    </row>
    <row r="241" spans="1:13">
      <c r="A241" s="10" t="s">
        <v>285</v>
      </c>
      <c r="B241" s="11" t="s">
        <v>262</v>
      </c>
      <c r="C241" s="11"/>
      <c r="D241" s="10"/>
      <c r="E241" s="21" t="s">
        <v>27</v>
      </c>
      <c r="F241" s="21" t="s">
        <v>27</v>
      </c>
      <c r="G241" s="21" t="s">
        <v>27</v>
      </c>
      <c r="H241" s="21" t="s">
        <v>27</v>
      </c>
      <c r="I241" s="21" t="s">
        <v>27</v>
      </c>
      <c r="J241" s="22" t="s">
        <v>8</v>
      </c>
      <c r="K241" s="22" t="s">
        <v>8</v>
      </c>
      <c r="L241" s="8" cm="1">
        <f t="array" ref="L241">SUMPRODUCT(IFERROR(TIMEVALUE(RIGHT(#REF!,5))-TIMEVALUE(LEFT(#REF!,5)),0))</f>
        <v>0</v>
      </c>
      <c r="M241" s="3" cm="1">
        <f t="array" ref="M241">SUMPRODUCT(IFERROR(TIMEVALUE(RIGHT(E241:K241,5))-TIMEVALUE(LEFT(E241:K241,5)),0))</f>
        <v>1.7708333333333335</v>
      </c>
    </row>
    <row r="242" spans="1:13">
      <c r="A242" s="10" t="s">
        <v>286</v>
      </c>
      <c r="B242" s="11" t="s">
        <v>262</v>
      </c>
      <c r="C242" s="11"/>
      <c r="D242" s="10"/>
      <c r="E242" s="21" t="s">
        <v>27</v>
      </c>
      <c r="F242" s="21" t="s">
        <v>27</v>
      </c>
      <c r="G242" s="21" t="s">
        <v>27</v>
      </c>
      <c r="H242" s="21" t="s">
        <v>27</v>
      </c>
      <c r="I242" s="21" t="s">
        <v>27</v>
      </c>
      <c r="J242" s="22" t="s">
        <v>8</v>
      </c>
      <c r="K242" s="22" t="s">
        <v>8</v>
      </c>
      <c r="L242" s="8" cm="1">
        <f t="array" ref="L242">SUMPRODUCT(IFERROR(TIMEVALUE(RIGHT(#REF!,5))-TIMEVALUE(LEFT(#REF!,5)),0))</f>
        <v>0</v>
      </c>
      <c r="M242" s="3" cm="1">
        <f t="array" ref="M242">SUMPRODUCT(IFERROR(TIMEVALUE(RIGHT(E242:K242,5))-TIMEVALUE(LEFT(E242:K242,5)),0))</f>
        <v>1.7708333333333335</v>
      </c>
    </row>
    <row r="243" spans="1:13">
      <c r="A243" s="10" t="s">
        <v>287</v>
      </c>
      <c r="B243" s="11" t="s">
        <v>262</v>
      </c>
      <c r="C243" s="11"/>
      <c r="D243" s="10"/>
      <c r="E243" s="21" t="s">
        <v>27</v>
      </c>
      <c r="F243" s="21" t="s">
        <v>27</v>
      </c>
      <c r="G243" s="21" t="s">
        <v>27</v>
      </c>
      <c r="H243" s="21" t="s">
        <v>27</v>
      </c>
      <c r="I243" s="21" t="s">
        <v>27</v>
      </c>
      <c r="J243" s="22" t="s">
        <v>8</v>
      </c>
      <c r="K243" s="22" t="s">
        <v>8</v>
      </c>
      <c r="L243" s="8" cm="1">
        <f t="array" ref="L243">SUMPRODUCT(IFERROR(TIMEVALUE(RIGHT(#REF!,5))-TIMEVALUE(LEFT(#REF!,5)),0))</f>
        <v>0</v>
      </c>
      <c r="M243" s="3" cm="1">
        <f t="array" ref="M243">SUMPRODUCT(IFERROR(TIMEVALUE(RIGHT(E243:K243,5))-TIMEVALUE(LEFT(E243:K243,5)),0))</f>
        <v>1.7708333333333335</v>
      </c>
    </row>
    <row r="244" spans="1:13">
      <c r="A244" s="10" t="s">
        <v>288</v>
      </c>
      <c r="B244" s="11" t="s">
        <v>262</v>
      </c>
      <c r="C244" s="11"/>
      <c r="D244" s="10"/>
      <c r="E244" s="21" t="s">
        <v>27</v>
      </c>
      <c r="F244" s="21" t="s">
        <v>27</v>
      </c>
      <c r="G244" s="21" t="s">
        <v>27</v>
      </c>
      <c r="H244" s="21" t="s">
        <v>27</v>
      </c>
      <c r="I244" s="21" t="s">
        <v>27</v>
      </c>
      <c r="J244" s="22" t="s">
        <v>8</v>
      </c>
      <c r="K244" s="22" t="s">
        <v>8</v>
      </c>
      <c r="L244" s="8" cm="1">
        <f t="array" ref="L244">SUMPRODUCT(IFERROR(TIMEVALUE(RIGHT(#REF!,5))-TIMEVALUE(LEFT(#REF!,5)),0))</f>
        <v>0</v>
      </c>
      <c r="M244" s="3" cm="1">
        <f t="array" ref="M244">SUMPRODUCT(IFERROR(TIMEVALUE(RIGHT(E244:K244,5))-TIMEVALUE(LEFT(E244:K244,5)),0))</f>
        <v>1.7708333333333335</v>
      </c>
    </row>
    <row r="245" spans="1:13">
      <c r="A245" s="10" t="s">
        <v>289</v>
      </c>
      <c r="B245" s="11" t="s">
        <v>262</v>
      </c>
      <c r="C245" s="11"/>
      <c r="D245" s="10"/>
      <c r="E245" s="21" t="s">
        <v>27</v>
      </c>
      <c r="F245" s="21" t="s">
        <v>27</v>
      </c>
      <c r="G245" s="21" t="s">
        <v>27</v>
      </c>
      <c r="H245" s="21" t="s">
        <v>27</v>
      </c>
      <c r="I245" s="21" t="s">
        <v>27</v>
      </c>
      <c r="J245" s="22" t="s">
        <v>8</v>
      </c>
      <c r="K245" s="22" t="s">
        <v>8</v>
      </c>
      <c r="L245" s="8" cm="1">
        <f t="array" ref="L245">SUMPRODUCT(IFERROR(TIMEVALUE(RIGHT(#REF!,5))-TIMEVALUE(LEFT(#REF!,5)),0))</f>
        <v>0</v>
      </c>
      <c r="M245" s="3" cm="1">
        <f t="array" ref="M245">SUMPRODUCT(IFERROR(TIMEVALUE(RIGHT(E245:K245,5))-TIMEVALUE(LEFT(E245:K245,5)),0))</f>
        <v>1.7708333333333335</v>
      </c>
    </row>
    <row r="246" spans="1:13">
      <c r="A246" s="10" t="s">
        <v>290</v>
      </c>
      <c r="B246" s="11" t="s">
        <v>262</v>
      </c>
      <c r="C246" s="11"/>
      <c r="D246" s="10"/>
      <c r="E246" s="21" t="s">
        <v>27</v>
      </c>
      <c r="F246" s="21" t="s">
        <v>27</v>
      </c>
      <c r="G246" s="21" t="s">
        <v>27</v>
      </c>
      <c r="H246" s="21" t="s">
        <v>27</v>
      </c>
      <c r="I246" s="21" t="s">
        <v>27</v>
      </c>
      <c r="J246" s="22" t="s">
        <v>8</v>
      </c>
      <c r="K246" s="22" t="s">
        <v>8</v>
      </c>
      <c r="L246" s="8" cm="1">
        <f t="array" ref="L246">SUMPRODUCT(IFERROR(TIMEVALUE(RIGHT(#REF!,5))-TIMEVALUE(LEFT(#REF!,5)),0))</f>
        <v>0</v>
      </c>
      <c r="M246" s="3" cm="1">
        <f t="array" ref="M246">SUMPRODUCT(IFERROR(TIMEVALUE(RIGHT(E246:K246,5))-TIMEVALUE(LEFT(E246:K246,5)),0))</f>
        <v>1.7708333333333335</v>
      </c>
    </row>
    <row r="247" spans="1:13">
      <c r="A247" s="10" t="s">
        <v>291</v>
      </c>
      <c r="B247" s="11" t="s">
        <v>262</v>
      </c>
      <c r="C247" s="11"/>
      <c r="D247" s="10"/>
      <c r="E247" s="21" t="s">
        <v>27</v>
      </c>
      <c r="F247" s="21" t="s">
        <v>27</v>
      </c>
      <c r="G247" s="21" t="s">
        <v>27</v>
      </c>
      <c r="H247" s="21" t="s">
        <v>27</v>
      </c>
      <c r="I247" s="21" t="s">
        <v>27</v>
      </c>
      <c r="J247" s="22" t="s">
        <v>8</v>
      </c>
      <c r="K247" s="22" t="s">
        <v>8</v>
      </c>
      <c r="L247" s="8" cm="1">
        <f t="array" ref="L247">SUMPRODUCT(IFERROR(TIMEVALUE(RIGHT(#REF!,5))-TIMEVALUE(LEFT(#REF!,5)),0))</f>
        <v>0</v>
      </c>
      <c r="M247" s="3" cm="1">
        <f t="array" ref="M247">SUMPRODUCT(IFERROR(TIMEVALUE(RIGHT(E247:K247,5))-TIMEVALUE(LEFT(E247:K247,5)),0))</f>
        <v>1.7708333333333335</v>
      </c>
    </row>
    <row r="248" spans="1:13">
      <c r="A248" s="10" t="s">
        <v>292</v>
      </c>
      <c r="B248" s="11" t="s">
        <v>262</v>
      </c>
      <c r="C248" s="11"/>
      <c r="D248" s="10"/>
      <c r="E248" s="21" t="s">
        <v>27</v>
      </c>
      <c r="F248" s="21" t="s">
        <v>27</v>
      </c>
      <c r="G248" s="21" t="s">
        <v>27</v>
      </c>
      <c r="H248" s="21" t="s">
        <v>27</v>
      </c>
      <c r="I248" s="21" t="s">
        <v>27</v>
      </c>
      <c r="J248" s="22" t="s">
        <v>8</v>
      </c>
      <c r="K248" s="22" t="s">
        <v>8</v>
      </c>
      <c r="L248" s="8" cm="1">
        <f t="array" ref="L248">SUMPRODUCT(IFERROR(TIMEVALUE(RIGHT(#REF!,5))-TIMEVALUE(LEFT(#REF!,5)),0))</f>
        <v>0</v>
      </c>
      <c r="M248" s="3" cm="1">
        <f t="array" ref="M248">SUMPRODUCT(IFERROR(TIMEVALUE(RIGHT(E248:K248,5))-TIMEVALUE(LEFT(E248:K248,5)),0))</f>
        <v>1.7708333333333335</v>
      </c>
    </row>
    <row r="249" spans="1:13">
      <c r="A249" s="10" t="s">
        <v>293</v>
      </c>
      <c r="B249" s="11" t="s">
        <v>262</v>
      </c>
      <c r="C249" s="11"/>
      <c r="D249" s="10"/>
      <c r="E249" s="21" t="s">
        <v>27</v>
      </c>
      <c r="F249" s="21" t="s">
        <v>27</v>
      </c>
      <c r="G249" s="21" t="s">
        <v>27</v>
      </c>
      <c r="H249" s="21" t="s">
        <v>27</v>
      </c>
      <c r="I249" s="21" t="s">
        <v>27</v>
      </c>
      <c r="J249" s="22" t="s">
        <v>8</v>
      </c>
      <c r="K249" s="22" t="s">
        <v>8</v>
      </c>
      <c r="L249" s="8" cm="1">
        <f t="array" ref="L249">SUMPRODUCT(IFERROR(TIMEVALUE(RIGHT(#REF!,5))-TIMEVALUE(LEFT(#REF!,5)),0))</f>
        <v>0</v>
      </c>
      <c r="M249" s="3" cm="1">
        <f t="array" ref="M249">SUMPRODUCT(IFERROR(TIMEVALUE(RIGHT(E249:K249,5))-TIMEVALUE(LEFT(E249:K249,5)),0))</f>
        <v>1.7708333333333335</v>
      </c>
    </row>
    <row r="250" spans="1:13">
      <c r="A250" s="10" t="s">
        <v>294</v>
      </c>
      <c r="B250" s="11" t="s">
        <v>262</v>
      </c>
      <c r="C250" s="11"/>
      <c r="D250" s="10"/>
      <c r="E250" s="21" t="s">
        <v>27</v>
      </c>
      <c r="F250" s="21" t="s">
        <v>27</v>
      </c>
      <c r="G250" s="21" t="s">
        <v>27</v>
      </c>
      <c r="H250" s="21" t="s">
        <v>27</v>
      </c>
      <c r="I250" s="21" t="s">
        <v>27</v>
      </c>
      <c r="J250" s="22" t="s">
        <v>8</v>
      </c>
      <c r="K250" s="22" t="s">
        <v>8</v>
      </c>
      <c r="L250" s="8" cm="1">
        <f t="array" ref="L250">SUMPRODUCT(IFERROR(TIMEVALUE(RIGHT(#REF!,5))-TIMEVALUE(LEFT(#REF!,5)),0))</f>
        <v>0</v>
      </c>
      <c r="M250" s="3" cm="1">
        <f t="array" ref="M250">SUMPRODUCT(IFERROR(TIMEVALUE(RIGHT(E250:K250,5))-TIMEVALUE(LEFT(E250:K250,5)),0))</f>
        <v>1.7708333333333335</v>
      </c>
    </row>
    <row r="251" spans="1:13">
      <c r="A251" s="10" t="s">
        <v>295</v>
      </c>
      <c r="B251" s="11" t="s">
        <v>262</v>
      </c>
      <c r="C251" s="11"/>
      <c r="D251" s="10"/>
      <c r="E251" s="21" t="s">
        <v>27</v>
      </c>
      <c r="F251" s="21" t="s">
        <v>27</v>
      </c>
      <c r="G251" s="21" t="s">
        <v>27</v>
      </c>
      <c r="H251" s="21" t="s">
        <v>27</v>
      </c>
      <c r="I251" s="21" t="s">
        <v>27</v>
      </c>
      <c r="J251" s="22" t="s">
        <v>8</v>
      </c>
      <c r="K251" s="22" t="s">
        <v>8</v>
      </c>
      <c r="L251" s="8" cm="1">
        <f t="array" ref="L251">SUMPRODUCT(IFERROR(TIMEVALUE(RIGHT(#REF!,5))-TIMEVALUE(LEFT(#REF!,5)),0))</f>
        <v>0</v>
      </c>
      <c r="M251" s="3" cm="1">
        <f t="array" ref="M251">SUMPRODUCT(IFERROR(TIMEVALUE(RIGHT(E251:K251,5))-TIMEVALUE(LEFT(E251:K251,5)),0))</f>
        <v>1.7708333333333335</v>
      </c>
    </row>
    <row r="252" spans="1:13">
      <c r="A252" s="10" t="s">
        <v>296</v>
      </c>
      <c r="B252" s="11" t="s">
        <v>262</v>
      </c>
      <c r="C252" s="11"/>
      <c r="D252" s="10"/>
      <c r="E252" s="21" t="s">
        <v>27</v>
      </c>
      <c r="F252" s="21" t="s">
        <v>27</v>
      </c>
      <c r="G252" s="21" t="s">
        <v>27</v>
      </c>
      <c r="H252" s="21" t="s">
        <v>27</v>
      </c>
      <c r="I252" s="21" t="s">
        <v>27</v>
      </c>
      <c r="J252" s="22" t="s">
        <v>8</v>
      </c>
      <c r="K252" s="22" t="s">
        <v>8</v>
      </c>
      <c r="L252" s="8" cm="1">
        <f t="array" ref="L252">SUMPRODUCT(IFERROR(TIMEVALUE(RIGHT(#REF!,5))-TIMEVALUE(LEFT(#REF!,5)),0))</f>
        <v>0</v>
      </c>
      <c r="M252" s="3" cm="1">
        <f t="array" ref="M252">SUMPRODUCT(IFERROR(TIMEVALUE(RIGHT(E252:K252,5))-TIMEVALUE(LEFT(E252:K252,5)),0))</f>
        <v>1.7708333333333335</v>
      </c>
    </row>
    <row r="253" spans="1:13">
      <c r="A253" s="10"/>
      <c r="B253" s="11"/>
      <c r="C253" s="11"/>
      <c r="D253" s="10"/>
      <c r="E253" s="22"/>
      <c r="F253" s="22"/>
      <c r="G253" s="22"/>
      <c r="H253" s="22"/>
      <c r="I253" s="22"/>
      <c r="J253" s="11"/>
      <c r="K253" s="11"/>
      <c r="L253" s="8" cm="1">
        <f t="array" ref="L253">SUMPRODUCT(IFERROR(TIMEVALUE(RIGHT(#REF!,5))-TIMEVALUE(LEFT(#REF!,5)),0))</f>
        <v>0</v>
      </c>
      <c r="M253" s="3" cm="1">
        <f t="array" ref="M253">SUMPRODUCT(IFERROR(TIMEVALUE(RIGHT(E253:K253,5))-TIMEVALUE(LEFT(E253:K253,5)),0))</f>
        <v>0</v>
      </c>
    </row>
    <row r="254" spans="1:13">
      <c r="A254" s="10"/>
      <c r="B254" s="11"/>
      <c r="C254" s="11"/>
      <c r="D254" s="10"/>
      <c r="E254" s="22"/>
      <c r="F254" s="22"/>
      <c r="G254" s="22"/>
      <c r="H254" s="22"/>
      <c r="I254" s="22"/>
      <c r="J254" s="11"/>
      <c r="K254" s="11"/>
      <c r="L254" s="8" cm="1">
        <f t="array" ref="L254">SUMPRODUCT(IFERROR(TIMEVALUE(RIGHT(#REF!,5))-TIMEVALUE(LEFT(#REF!,5)),0))</f>
        <v>0</v>
      </c>
      <c r="M254" s="3" cm="1">
        <f t="array" ref="M254">SUMPRODUCT(IFERROR(TIMEVALUE(RIGHT(E254:K254,5))-TIMEVALUE(LEFT(E254:K254,5)),0))</f>
        <v>0</v>
      </c>
    </row>
    <row r="255" spans="1:13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</row>
    <row r="256" spans="1:13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</row>
    <row r="257" spans="1:1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</row>
    <row r="258" spans="1:1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</row>
    <row r="259" spans="1:1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</row>
    <row r="260" spans="1:1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</row>
    <row r="261" spans="1:1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</row>
    <row r="262" spans="1:1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</row>
    <row r="263" spans="1:1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</row>
    <row r="264" spans="1:1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</row>
    <row r="265" spans="1:1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</row>
    <row r="266" spans="1:1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</row>
    <row r="267" spans="1:1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</row>
    <row r="268" spans="1:1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</row>
    <row r="269" spans="1:1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</row>
    <row r="270" spans="1:1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</row>
    <row r="271" spans="1:1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</row>
    <row r="272" spans="1:1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</row>
    <row r="273" spans="1:1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</row>
    <row r="274" spans="1:1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</row>
    <row r="275" spans="1:1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</row>
    <row r="276" spans="1:11">
      <c r="E276" s="22"/>
      <c r="F276" s="22"/>
      <c r="G276" s="22"/>
      <c r="H276" s="22"/>
      <c r="I276" s="22"/>
    </row>
    <row r="277" spans="1:11">
      <c r="E277" s="22"/>
      <c r="F277" s="22"/>
      <c r="G277" s="22"/>
      <c r="H277" s="22"/>
      <c r="I277" s="22"/>
    </row>
    <row r="278" spans="1:11">
      <c r="E278" s="22"/>
      <c r="F278" s="22"/>
      <c r="G278" s="22"/>
      <c r="H278" s="22"/>
      <c r="I278" s="22"/>
    </row>
    <row r="279" spans="1:11">
      <c r="E279" s="22"/>
      <c r="F279" s="22"/>
      <c r="G279" s="22"/>
      <c r="H279" s="22"/>
      <c r="I279" s="22"/>
    </row>
    <row r="280" spans="1:11">
      <c r="E280" s="22"/>
      <c r="F280" s="22"/>
      <c r="G280" s="22"/>
      <c r="H280" s="22"/>
      <c r="I280" s="22"/>
    </row>
    <row r="281" spans="1:11">
      <c r="E281" s="22"/>
      <c r="F281" s="22"/>
      <c r="G281" s="22"/>
      <c r="H281" s="22"/>
      <c r="I281" s="22"/>
    </row>
    <row r="282" spans="1:11">
      <c r="E282" s="22"/>
      <c r="F282" s="22"/>
      <c r="G282" s="22"/>
      <c r="H282" s="22"/>
      <c r="I282" s="22"/>
    </row>
    <row r="283" spans="1:11">
      <c r="E283" s="22"/>
      <c r="F283" s="22"/>
      <c r="G283" s="22"/>
      <c r="H283" s="22"/>
      <c r="I283" s="22"/>
    </row>
    <row r="284" spans="1:11">
      <c r="E284" s="22"/>
      <c r="F284" s="22"/>
      <c r="G284" s="22"/>
      <c r="H284" s="22"/>
      <c r="I284" s="22"/>
    </row>
    <row r="285" spans="1:11">
      <c r="E285" s="22"/>
      <c r="F285" s="22"/>
      <c r="G285" s="22"/>
      <c r="H285" s="22"/>
      <c r="I285" s="22"/>
    </row>
    <row r="286" spans="1:11">
      <c r="E286" s="22"/>
      <c r="F286" s="22"/>
      <c r="G286" s="22"/>
      <c r="H286" s="22"/>
      <c r="I286" s="22"/>
    </row>
    <row r="287" spans="1:11">
      <c r="E287" s="22"/>
      <c r="F287" s="22"/>
      <c r="G287" s="22"/>
      <c r="H287" s="22"/>
      <c r="I287" s="22"/>
    </row>
    <row r="288" spans="1:11">
      <c r="E288" s="22"/>
      <c r="F288" s="22"/>
      <c r="G288" s="22"/>
      <c r="H288" s="22"/>
      <c r="I288" s="22"/>
    </row>
    <row r="289" spans="5:9">
      <c r="E289" s="22"/>
      <c r="F289" s="22"/>
      <c r="G289" s="22"/>
      <c r="H289" s="22"/>
      <c r="I289" s="22"/>
    </row>
    <row r="290" spans="5:9">
      <c r="E290" s="22"/>
      <c r="F290" s="22"/>
      <c r="G290" s="22"/>
      <c r="H290" s="22"/>
      <c r="I290" s="22"/>
    </row>
    <row r="291" spans="5:9">
      <c r="E291" s="22"/>
      <c r="F291" s="22"/>
      <c r="G291" s="22"/>
      <c r="H291" s="22"/>
      <c r="I291" s="22"/>
    </row>
    <row r="292" spans="5:9">
      <c r="E292" s="22"/>
      <c r="F292" s="22"/>
      <c r="G292" s="22"/>
      <c r="H292" s="22"/>
      <c r="I292" s="22"/>
    </row>
    <row r="293" spans="5:9">
      <c r="E293" s="22"/>
      <c r="F293" s="22"/>
      <c r="G293" s="22"/>
      <c r="H293" s="22"/>
      <c r="I293" s="22"/>
    </row>
    <row r="294" spans="5:9">
      <c r="E294" s="22"/>
      <c r="F294" s="22"/>
      <c r="G294" s="22"/>
      <c r="H294" s="22"/>
      <c r="I294" s="22"/>
    </row>
    <row r="295" spans="5:9">
      <c r="E295" s="22"/>
      <c r="F295" s="22"/>
      <c r="G295" s="22"/>
      <c r="H295" s="22"/>
      <c r="I295" s="22"/>
    </row>
    <row r="296" spans="5:9">
      <c r="E296" s="22"/>
      <c r="F296" s="22"/>
      <c r="G296" s="22"/>
      <c r="H296" s="22"/>
      <c r="I296" s="22"/>
    </row>
    <row r="297" spans="5:9">
      <c r="E297" s="22"/>
      <c r="F297" s="22"/>
      <c r="G297" s="22"/>
      <c r="H297" s="22"/>
      <c r="I297" s="22"/>
    </row>
    <row r="298" spans="5:9">
      <c r="E298" s="22"/>
      <c r="F298" s="22"/>
      <c r="G298" s="22"/>
      <c r="H298" s="22"/>
      <c r="I298" s="22"/>
    </row>
    <row r="299" spans="5:9">
      <c r="E299" s="22"/>
      <c r="F299" s="22"/>
      <c r="G299" s="22"/>
      <c r="H299" s="22"/>
      <c r="I299" s="22"/>
    </row>
    <row r="300" spans="5:9">
      <c r="E300" s="22"/>
      <c r="F300" s="22"/>
      <c r="G300" s="22"/>
      <c r="H300" s="22"/>
      <c r="I300" s="22"/>
    </row>
    <row r="301" spans="5:9">
      <c r="E301" s="22"/>
      <c r="F301" s="22"/>
      <c r="G301" s="22"/>
      <c r="H301" s="22"/>
      <c r="I301" s="22"/>
    </row>
    <row r="302" spans="5:9">
      <c r="E302" s="22"/>
      <c r="F302" s="22"/>
      <c r="G302" s="22"/>
      <c r="H302" s="22"/>
      <c r="I302" s="22"/>
    </row>
    <row r="303" spans="5:9">
      <c r="E303" s="22"/>
      <c r="F303" s="22"/>
      <c r="G303" s="22"/>
      <c r="H303" s="22"/>
      <c r="I303" s="22"/>
    </row>
    <row r="304" spans="5:9">
      <c r="E304" s="22"/>
      <c r="F304" s="22"/>
      <c r="G304" s="22"/>
      <c r="H304" s="22"/>
      <c r="I304" s="22"/>
    </row>
    <row r="305" spans="5:9">
      <c r="E305" s="22"/>
      <c r="F305" s="22"/>
      <c r="G305" s="22"/>
      <c r="H305" s="22"/>
      <c r="I305" s="22"/>
    </row>
    <row r="306" spans="5:9">
      <c r="E306" s="22"/>
      <c r="F306" s="22"/>
      <c r="G306" s="22"/>
      <c r="H306" s="22"/>
      <c r="I306" s="22"/>
    </row>
    <row r="307" spans="5:9">
      <c r="E307" s="22"/>
      <c r="F307" s="22"/>
      <c r="G307" s="22"/>
      <c r="H307" s="22"/>
      <c r="I307" s="22"/>
    </row>
    <row r="308" spans="5:9">
      <c r="E308" s="22"/>
      <c r="F308" s="22"/>
      <c r="G308" s="22"/>
      <c r="H308" s="22"/>
      <c r="I308" s="22"/>
    </row>
    <row r="309" spans="5:9">
      <c r="E309" s="22"/>
      <c r="F309" s="22"/>
      <c r="G309" s="22"/>
      <c r="H309" s="22"/>
      <c r="I309" s="22"/>
    </row>
    <row r="310" spans="5:9">
      <c r="E310" s="22"/>
      <c r="F310" s="22"/>
      <c r="G310" s="22"/>
      <c r="H310" s="22"/>
      <c r="I310" s="22"/>
    </row>
    <row r="311" spans="5:9">
      <c r="E311" s="22"/>
      <c r="F311" s="22"/>
      <c r="G311" s="22"/>
      <c r="H311" s="22"/>
      <c r="I311" s="22"/>
    </row>
    <row r="312" spans="5:9">
      <c r="E312" s="22"/>
      <c r="F312" s="22"/>
      <c r="G312" s="22"/>
      <c r="H312" s="22"/>
      <c r="I312" s="22"/>
    </row>
    <row r="313" spans="5:9">
      <c r="E313" s="22"/>
      <c r="F313" s="22"/>
      <c r="G313" s="22"/>
      <c r="H313" s="22"/>
      <c r="I313" s="22"/>
    </row>
    <row r="314" spans="5:9">
      <c r="E314" s="22"/>
      <c r="F314" s="22"/>
      <c r="G314" s="22"/>
      <c r="H314" s="22"/>
      <c r="I314" s="22"/>
    </row>
    <row r="315" spans="5:9">
      <c r="E315" s="22"/>
      <c r="F315" s="22"/>
      <c r="G315" s="22"/>
      <c r="H315" s="22"/>
      <c r="I315" s="22"/>
    </row>
    <row r="316" spans="5:9">
      <c r="E316" s="22"/>
      <c r="F316" s="22"/>
      <c r="G316" s="22"/>
      <c r="H316" s="22"/>
      <c r="I316" s="22"/>
    </row>
    <row r="317" spans="5:9">
      <c r="E317" s="22"/>
      <c r="F317" s="22"/>
      <c r="G317" s="22"/>
      <c r="H317" s="22"/>
      <c r="I317" s="22"/>
    </row>
    <row r="318" spans="5:9">
      <c r="E318" s="22"/>
      <c r="F318" s="22"/>
      <c r="G318" s="22"/>
      <c r="H318" s="22"/>
      <c r="I318" s="22"/>
    </row>
    <row r="319" spans="5:9">
      <c r="E319" s="22"/>
      <c r="F319" s="22"/>
      <c r="G319" s="22"/>
      <c r="H319" s="22"/>
      <c r="I319" s="22"/>
    </row>
    <row r="320" spans="5:9">
      <c r="E320" s="22"/>
      <c r="F320" s="22"/>
      <c r="G320" s="22"/>
      <c r="H320" s="22"/>
      <c r="I320" s="22"/>
    </row>
    <row r="321" spans="5:9">
      <c r="E321" s="22"/>
      <c r="F321" s="22"/>
      <c r="G321" s="22"/>
      <c r="H321" s="22"/>
      <c r="I321" s="22"/>
    </row>
    <row r="322" spans="5:9">
      <c r="E322" s="22"/>
      <c r="F322" s="22"/>
      <c r="G322" s="22"/>
      <c r="H322" s="22"/>
      <c r="I322" s="22"/>
    </row>
    <row r="323" spans="5:9">
      <c r="E323" s="22"/>
      <c r="F323" s="22"/>
      <c r="G323" s="22"/>
      <c r="H323" s="22"/>
      <c r="I323" s="22"/>
    </row>
    <row r="324" spans="5:9">
      <c r="E324" s="22"/>
      <c r="F324" s="22"/>
      <c r="G324" s="22"/>
      <c r="H324" s="22"/>
      <c r="I324" s="22"/>
    </row>
    <row r="325" spans="5:9">
      <c r="E325" s="22"/>
      <c r="F325" s="22"/>
      <c r="G325" s="22"/>
      <c r="H325" s="22"/>
      <c r="I325" s="22"/>
    </row>
    <row r="326" spans="5:9">
      <c r="E326" s="22"/>
      <c r="F326" s="22"/>
      <c r="G326" s="22"/>
      <c r="H326" s="22"/>
      <c r="I326" s="22"/>
    </row>
    <row r="327" spans="5:9">
      <c r="E327" s="22"/>
      <c r="F327" s="22"/>
      <c r="G327" s="22"/>
      <c r="H327" s="22"/>
      <c r="I327" s="22"/>
    </row>
    <row r="328" spans="5:9">
      <c r="E328" s="22"/>
      <c r="F328" s="22"/>
      <c r="G328" s="22"/>
      <c r="H328" s="22"/>
      <c r="I328" s="22"/>
    </row>
    <row r="329" spans="5:9">
      <c r="E329" s="22"/>
      <c r="F329" s="22"/>
      <c r="G329" s="22"/>
      <c r="H329" s="22"/>
      <c r="I329" s="22"/>
    </row>
    <row r="330" spans="5:9">
      <c r="E330" s="22"/>
      <c r="F330" s="22"/>
      <c r="G330" s="22"/>
      <c r="H330" s="22"/>
      <c r="I330" s="22"/>
    </row>
    <row r="331" spans="5:9">
      <c r="E331" s="22"/>
      <c r="F331" s="22"/>
      <c r="G331" s="22"/>
      <c r="H331" s="22"/>
      <c r="I331" s="22"/>
    </row>
    <row r="332" spans="5:9">
      <c r="E332" s="22"/>
      <c r="F332" s="22"/>
      <c r="G332" s="22"/>
      <c r="H332" s="22"/>
      <c r="I332" s="22"/>
    </row>
    <row r="333" spans="5:9">
      <c r="E333" s="22"/>
      <c r="F333" s="22"/>
      <c r="G333" s="22"/>
      <c r="H333" s="22"/>
      <c r="I333" s="22"/>
    </row>
    <row r="334" spans="5:9">
      <c r="E334" s="22"/>
      <c r="F334" s="22"/>
      <c r="G334" s="22"/>
      <c r="H334" s="22"/>
      <c r="I334" s="22"/>
    </row>
    <row r="335" spans="5:9">
      <c r="E335" s="22"/>
      <c r="F335" s="22"/>
      <c r="G335" s="22"/>
      <c r="H335" s="22"/>
      <c r="I335" s="22"/>
    </row>
    <row r="336" spans="5:9">
      <c r="E336" s="22"/>
      <c r="F336" s="22"/>
      <c r="G336" s="22"/>
      <c r="H336" s="22"/>
      <c r="I336" s="22"/>
    </row>
    <row r="337" spans="5:9">
      <c r="E337" s="22"/>
      <c r="F337" s="22"/>
      <c r="G337" s="22"/>
      <c r="H337" s="22"/>
      <c r="I337" s="22"/>
    </row>
    <row r="338" spans="5:9">
      <c r="E338" s="22"/>
      <c r="F338" s="22"/>
      <c r="G338" s="22"/>
      <c r="H338" s="22"/>
      <c r="I338" s="22"/>
    </row>
    <row r="339" spans="5:9">
      <c r="E339" s="22"/>
      <c r="F339" s="22"/>
      <c r="G339" s="22"/>
      <c r="H339" s="22"/>
      <c r="I339" s="22"/>
    </row>
    <row r="340" spans="5:9">
      <c r="E340" s="22"/>
      <c r="F340" s="22"/>
      <c r="G340" s="22"/>
      <c r="H340" s="22"/>
      <c r="I340" s="22"/>
    </row>
    <row r="341" spans="5:9">
      <c r="E341" s="22"/>
      <c r="F341" s="22"/>
      <c r="G341" s="22"/>
      <c r="H341" s="22"/>
      <c r="I341" s="22"/>
    </row>
    <row r="342" spans="5:9">
      <c r="E342" s="22"/>
      <c r="F342" s="22"/>
      <c r="G342" s="22"/>
      <c r="H342" s="22"/>
      <c r="I342" s="22"/>
    </row>
    <row r="343" spans="5:9">
      <c r="E343" s="22"/>
      <c r="F343" s="22"/>
      <c r="G343" s="22"/>
      <c r="H343" s="22"/>
      <c r="I343" s="22"/>
    </row>
    <row r="344" spans="5:9">
      <c r="E344" s="22"/>
      <c r="F344" s="22"/>
      <c r="G344" s="22"/>
      <c r="H344" s="22"/>
      <c r="I344" s="22"/>
    </row>
    <row r="345" spans="5:9">
      <c r="E345" s="22"/>
      <c r="F345" s="22"/>
      <c r="G345" s="22"/>
      <c r="H345" s="22"/>
      <c r="I345" s="22"/>
    </row>
    <row r="346" spans="5:9">
      <c r="E346" s="22"/>
      <c r="F346" s="22"/>
      <c r="G346" s="22"/>
      <c r="H346" s="22"/>
      <c r="I346" s="22"/>
    </row>
    <row r="347" spans="5:9">
      <c r="E347" s="22"/>
      <c r="F347" s="22"/>
      <c r="G347" s="22"/>
      <c r="H347" s="22"/>
      <c r="I347" s="22"/>
    </row>
    <row r="348" spans="5:9">
      <c r="E348" s="22"/>
      <c r="F348" s="22"/>
      <c r="G348" s="22"/>
      <c r="H348" s="22"/>
      <c r="I348" s="22"/>
    </row>
    <row r="349" spans="5:9">
      <c r="E349" s="22"/>
      <c r="F349" s="22"/>
      <c r="G349" s="22"/>
      <c r="H349" s="22"/>
      <c r="I349" s="22"/>
    </row>
    <row r="350" spans="5:9">
      <c r="E350" s="22"/>
      <c r="F350" s="22"/>
      <c r="G350" s="22"/>
      <c r="H350" s="22"/>
      <c r="I350" s="22"/>
    </row>
    <row r="351" spans="5:9">
      <c r="E351" s="22"/>
      <c r="F351" s="22"/>
      <c r="G351" s="22"/>
      <c r="H351" s="22"/>
      <c r="I351" s="22"/>
    </row>
    <row r="352" spans="5:9">
      <c r="E352" s="22"/>
      <c r="F352" s="22"/>
      <c r="G352" s="22"/>
      <c r="H352" s="22"/>
      <c r="I352" s="22"/>
    </row>
    <row r="353" spans="5:9">
      <c r="E353" s="22"/>
      <c r="F353" s="22"/>
      <c r="G353" s="22"/>
      <c r="H353" s="22"/>
      <c r="I353" s="22"/>
    </row>
    <row r="354" spans="5:9">
      <c r="E354" s="22"/>
      <c r="F354" s="22"/>
      <c r="G354" s="22"/>
      <c r="H354" s="22"/>
      <c r="I354" s="22"/>
    </row>
    <row r="355" spans="5:9">
      <c r="E355" s="22"/>
      <c r="F355" s="22"/>
      <c r="G355" s="22"/>
      <c r="H355" s="22"/>
      <c r="I355" s="22"/>
    </row>
    <row r="356" spans="5:9">
      <c r="E356" s="22"/>
      <c r="F356" s="22"/>
      <c r="G356" s="22"/>
      <c r="H356" s="22"/>
      <c r="I356" s="22"/>
    </row>
    <row r="357" spans="5:9">
      <c r="E357" s="22"/>
      <c r="F357" s="22"/>
      <c r="G357" s="22"/>
      <c r="H357" s="22"/>
      <c r="I357" s="22"/>
    </row>
    <row r="358" spans="5:9">
      <c r="E358" s="22"/>
      <c r="F358" s="22"/>
      <c r="G358" s="22"/>
      <c r="H358" s="22"/>
      <c r="I358" s="22"/>
    </row>
    <row r="359" spans="5:9">
      <c r="E359" s="22"/>
      <c r="F359" s="22"/>
      <c r="G359" s="22"/>
      <c r="H359" s="22"/>
      <c r="I359" s="22"/>
    </row>
    <row r="360" spans="5:9">
      <c r="E360" s="22"/>
      <c r="F360" s="22"/>
      <c r="G360" s="22"/>
      <c r="H360" s="22"/>
      <c r="I360" s="22"/>
    </row>
    <row r="361" spans="5:9">
      <c r="E361" s="22"/>
      <c r="F361" s="22"/>
      <c r="G361" s="22"/>
      <c r="H361" s="22"/>
      <c r="I361" s="22"/>
    </row>
    <row r="362" spans="5:9">
      <c r="E362" s="22"/>
      <c r="F362" s="22"/>
      <c r="G362" s="22"/>
      <c r="H362" s="22"/>
      <c r="I362" s="22"/>
    </row>
    <row r="363" spans="5:9">
      <c r="E363" s="22"/>
      <c r="F363" s="22"/>
      <c r="G363" s="22"/>
      <c r="H363" s="22"/>
      <c r="I363" s="22"/>
    </row>
    <row r="364" spans="5:9">
      <c r="E364" s="22"/>
      <c r="F364" s="22"/>
      <c r="G364" s="22"/>
      <c r="H364" s="22"/>
      <c r="I364" s="22"/>
    </row>
    <row r="365" spans="5:9">
      <c r="E365" s="22"/>
      <c r="F365" s="22"/>
      <c r="G365" s="22"/>
      <c r="H365" s="22"/>
      <c r="I365" s="22"/>
    </row>
    <row r="366" spans="5:9">
      <c r="E366" s="22"/>
      <c r="F366" s="22"/>
      <c r="G366" s="22"/>
      <c r="H366" s="22"/>
      <c r="I366" s="22"/>
    </row>
    <row r="367" spans="5:9">
      <c r="E367" s="22"/>
      <c r="F367" s="22"/>
      <c r="G367" s="22"/>
      <c r="H367" s="22"/>
      <c r="I367" s="22"/>
    </row>
    <row r="368" spans="5:9">
      <c r="E368" s="22"/>
      <c r="F368" s="22"/>
      <c r="G368" s="22"/>
      <c r="H368" s="22"/>
      <c r="I368" s="22"/>
    </row>
    <row r="369" spans="5:9">
      <c r="E369" s="22"/>
      <c r="F369" s="22"/>
      <c r="G369" s="22"/>
      <c r="H369" s="22"/>
      <c r="I369" s="22"/>
    </row>
    <row r="370" spans="5:9">
      <c r="E370" s="22"/>
      <c r="F370" s="22"/>
      <c r="G370" s="22"/>
      <c r="H370" s="22"/>
      <c r="I370" s="22"/>
    </row>
    <row r="371" spans="5:9">
      <c r="E371" s="22"/>
      <c r="F371" s="22"/>
      <c r="G371" s="22"/>
      <c r="H371" s="22"/>
      <c r="I371" s="22"/>
    </row>
    <row r="372" spans="5:9">
      <c r="E372" s="22"/>
      <c r="F372" s="22"/>
      <c r="G372" s="22"/>
      <c r="H372" s="22"/>
      <c r="I372" s="22"/>
    </row>
    <row r="373" spans="5:9">
      <c r="E373" s="22"/>
      <c r="F373" s="22"/>
      <c r="G373" s="22"/>
      <c r="H373" s="22"/>
      <c r="I373" s="22"/>
    </row>
    <row r="374" spans="5:9">
      <c r="E374" s="22"/>
      <c r="F374" s="22"/>
      <c r="G374" s="22"/>
      <c r="H374" s="22"/>
      <c r="I374" s="22"/>
    </row>
    <row r="375" spans="5:9">
      <c r="E375" s="22"/>
      <c r="F375" s="22"/>
      <c r="G375" s="22"/>
      <c r="H375" s="22"/>
      <c r="I375" s="22"/>
    </row>
    <row r="376" spans="5:9">
      <c r="E376" s="22"/>
      <c r="F376" s="22"/>
      <c r="G376" s="22"/>
      <c r="H376" s="22"/>
      <c r="I376" s="22"/>
    </row>
    <row r="377" spans="5:9">
      <c r="E377" s="22"/>
      <c r="F377" s="22"/>
      <c r="G377" s="22"/>
      <c r="H377" s="22"/>
      <c r="I377" s="22"/>
    </row>
    <row r="378" spans="5:9">
      <c r="E378" s="22"/>
      <c r="F378" s="22"/>
      <c r="G378" s="22"/>
      <c r="H378" s="22"/>
      <c r="I378" s="22"/>
    </row>
    <row r="379" spans="5:9">
      <c r="E379" s="22"/>
      <c r="F379" s="22"/>
      <c r="G379" s="22"/>
      <c r="H379" s="22"/>
      <c r="I379" s="22"/>
    </row>
    <row r="380" spans="5:9">
      <c r="E380" s="22"/>
      <c r="F380" s="22"/>
      <c r="G380" s="22"/>
      <c r="H380" s="22"/>
      <c r="I380" s="22"/>
    </row>
    <row r="381" spans="5:9">
      <c r="E381" s="22"/>
      <c r="F381" s="22"/>
      <c r="G381" s="22"/>
      <c r="H381" s="22"/>
      <c r="I381" s="22"/>
    </row>
    <row r="382" spans="5:9">
      <c r="E382" s="22"/>
      <c r="F382" s="22"/>
      <c r="G382" s="22"/>
      <c r="H382" s="22"/>
      <c r="I382" s="22"/>
    </row>
    <row r="383" spans="5:9">
      <c r="E383" s="22"/>
      <c r="F383" s="22"/>
      <c r="G383" s="22"/>
      <c r="H383" s="22"/>
      <c r="I383" s="22"/>
    </row>
    <row r="384" spans="5:9">
      <c r="E384" s="22"/>
      <c r="F384" s="22"/>
      <c r="G384" s="22"/>
      <c r="H384" s="22"/>
      <c r="I384" s="22"/>
    </row>
    <row r="385" spans="5:9">
      <c r="E385" s="22"/>
      <c r="F385" s="22"/>
      <c r="G385" s="22"/>
      <c r="H385" s="22"/>
      <c r="I385" s="22"/>
    </row>
    <row r="386" spans="5:9">
      <c r="E386" s="22"/>
      <c r="F386" s="22"/>
      <c r="G386" s="22"/>
      <c r="H386" s="22"/>
      <c r="I386" s="22"/>
    </row>
    <row r="387" spans="5:9">
      <c r="E387" s="22"/>
      <c r="F387" s="22"/>
      <c r="G387" s="22"/>
      <c r="H387" s="22"/>
      <c r="I387" s="22"/>
    </row>
    <row r="388" spans="5:9">
      <c r="E388" s="22"/>
      <c r="F388" s="22"/>
      <c r="G388" s="22"/>
      <c r="H388" s="22"/>
      <c r="I388" s="22"/>
    </row>
    <row r="389" spans="5:9">
      <c r="E389" s="22"/>
      <c r="F389" s="22"/>
      <c r="G389" s="22"/>
      <c r="H389" s="22"/>
      <c r="I389" s="22"/>
    </row>
    <row r="390" spans="5:9">
      <c r="E390" s="22"/>
      <c r="F390" s="22"/>
      <c r="G390" s="22"/>
      <c r="H390" s="22"/>
      <c r="I390" s="22"/>
    </row>
    <row r="391" spans="5:9">
      <c r="E391" s="22"/>
      <c r="F391" s="22"/>
      <c r="G391" s="22"/>
      <c r="H391" s="22"/>
      <c r="I391" s="22"/>
    </row>
    <row r="392" spans="5:9">
      <c r="E392" s="22"/>
      <c r="F392" s="22"/>
      <c r="G392" s="22"/>
      <c r="H392" s="22"/>
      <c r="I392" s="22"/>
    </row>
    <row r="393" spans="5:9">
      <c r="E393" s="22"/>
      <c r="F393" s="22"/>
      <c r="G393" s="22"/>
      <c r="H393" s="22"/>
      <c r="I393" s="22"/>
    </row>
    <row r="394" spans="5:9">
      <c r="E394" s="22"/>
      <c r="F394" s="22"/>
      <c r="G394" s="22"/>
      <c r="H394" s="22"/>
      <c r="I394" s="22"/>
    </row>
    <row r="395" spans="5:9">
      <c r="E395" s="22"/>
      <c r="F395" s="22"/>
      <c r="G395" s="22"/>
      <c r="H395" s="22"/>
      <c r="I395" s="22"/>
    </row>
    <row r="396" spans="5:9">
      <c r="E396" s="22"/>
      <c r="F396" s="22"/>
      <c r="G396" s="22"/>
      <c r="H396" s="22"/>
      <c r="I396" s="22"/>
    </row>
    <row r="397" spans="5:9">
      <c r="E397" s="22"/>
      <c r="F397" s="22"/>
      <c r="G397" s="22"/>
      <c r="H397" s="22"/>
      <c r="I397" s="22"/>
    </row>
    <row r="398" spans="5:9">
      <c r="E398" s="22"/>
      <c r="F398" s="22"/>
      <c r="G398" s="22"/>
      <c r="H398" s="22"/>
      <c r="I398" s="22"/>
    </row>
    <row r="399" spans="5:9">
      <c r="E399" s="22"/>
      <c r="F399" s="22"/>
      <c r="G399" s="22"/>
      <c r="H399" s="22"/>
      <c r="I399" s="22"/>
    </row>
    <row r="400" spans="5:9">
      <c r="E400" s="22"/>
      <c r="F400" s="22"/>
      <c r="G400" s="22"/>
      <c r="H400" s="22"/>
      <c r="I400" s="22"/>
    </row>
    <row r="401" spans="5:9">
      <c r="E401" s="22"/>
      <c r="F401" s="22"/>
      <c r="G401" s="22"/>
      <c r="H401" s="22"/>
      <c r="I401" s="22"/>
    </row>
    <row r="402" spans="5:9">
      <c r="E402" s="22"/>
      <c r="F402" s="22"/>
      <c r="G402" s="22"/>
      <c r="H402" s="22"/>
      <c r="I402" s="22"/>
    </row>
    <row r="403" spans="5:9">
      <c r="E403" s="22"/>
      <c r="F403" s="22"/>
      <c r="G403" s="22"/>
      <c r="H403" s="22"/>
      <c r="I403" s="22"/>
    </row>
    <row r="404" spans="5:9">
      <c r="E404" s="22"/>
      <c r="F404" s="22"/>
      <c r="G404" s="22"/>
      <c r="H404" s="22"/>
      <c r="I404" s="22"/>
    </row>
    <row r="405" spans="5:9">
      <c r="E405" s="22"/>
      <c r="F405" s="22"/>
      <c r="G405" s="22"/>
      <c r="H405" s="22"/>
      <c r="I405" s="22"/>
    </row>
    <row r="406" spans="5:9">
      <c r="E406" s="22"/>
      <c r="F406" s="22"/>
      <c r="G406" s="22"/>
      <c r="H406" s="22"/>
      <c r="I406" s="22"/>
    </row>
    <row r="407" spans="5:9">
      <c r="E407" s="22"/>
      <c r="F407" s="22"/>
      <c r="G407" s="22"/>
      <c r="H407" s="22"/>
      <c r="I407" s="22"/>
    </row>
    <row r="408" spans="5:9">
      <c r="E408" s="22"/>
      <c r="F408" s="22"/>
      <c r="G408" s="22"/>
      <c r="H408" s="22"/>
      <c r="I408" s="22"/>
    </row>
    <row r="409" spans="5:9">
      <c r="E409" s="22"/>
      <c r="F409" s="22"/>
      <c r="G409" s="22"/>
      <c r="H409" s="22"/>
      <c r="I409" s="22"/>
    </row>
    <row r="410" spans="5:9">
      <c r="E410" s="22"/>
      <c r="F410" s="22"/>
      <c r="G410" s="22"/>
      <c r="H410" s="22"/>
      <c r="I410" s="22"/>
    </row>
    <row r="411" spans="5:9">
      <c r="E411" s="22"/>
      <c r="F411" s="22"/>
      <c r="G411" s="22"/>
      <c r="H411" s="22"/>
      <c r="I411" s="22"/>
    </row>
    <row r="412" spans="5:9">
      <c r="E412" s="22"/>
      <c r="F412" s="22"/>
      <c r="G412" s="22"/>
      <c r="H412" s="22"/>
      <c r="I412" s="22"/>
    </row>
    <row r="413" spans="5:9">
      <c r="E413" s="22"/>
      <c r="F413" s="22"/>
      <c r="G413" s="22"/>
      <c r="H413" s="22"/>
      <c r="I413" s="22"/>
    </row>
    <row r="414" spans="5:9">
      <c r="E414" s="22"/>
      <c r="F414" s="22"/>
      <c r="G414" s="22"/>
      <c r="H414" s="22"/>
      <c r="I414" s="22"/>
    </row>
    <row r="415" spans="5:9">
      <c r="E415" s="22"/>
      <c r="F415" s="22"/>
      <c r="G415" s="22"/>
      <c r="H415" s="22"/>
      <c r="I415" s="22"/>
    </row>
    <row r="416" spans="5:9">
      <c r="E416" s="22"/>
      <c r="F416" s="22"/>
      <c r="G416" s="22"/>
      <c r="H416" s="22"/>
      <c r="I416" s="22"/>
    </row>
    <row r="417" spans="5:9">
      <c r="E417" s="22"/>
      <c r="F417" s="22"/>
      <c r="G417" s="22"/>
      <c r="H417" s="22"/>
      <c r="I417" s="22"/>
    </row>
    <row r="418" spans="5:9">
      <c r="E418" s="22"/>
      <c r="F418" s="22"/>
      <c r="G418" s="22"/>
      <c r="H418" s="22"/>
      <c r="I418" s="22"/>
    </row>
    <row r="419" spans="5:9">
      <c r="E419" s="22"/>
      <c r="F419" s="22"/>
      <c r="G419" s="22"/>
      <c r="H419" s="22"/>
      <c r="I419" s="22"/>
    </row>
    <row r="420" spans="5:9">
      <c r="E420" s="22"/>
      <c r="F420" s="22"/>
      <c r="G420" s="22"/>
      <c r="H420" s="22"/>
      <c r="I420" s="22"/>
    </row>
    <row r="421" spans="5:9">
      <c r="E421" s="22"/>
      <c r="F421" s="22"/>
      <c r="G421" s="22"/>
      <c r="H421" s="22"/>
      <c r="I421" s="22"/>
    </row>
    <row r="422" spans="5:9">
      <c r="E422" s="22"/>
      <c r="F422" s="22"/>
      <c r="G422" s="22"/>
      <c r="H422" s="22"/>
      <c r="I422" s="22"/>
    </row>
    <row r="423" spans="5:9">
      <c r="E423" s="22"/>
      <c r="F423" s="22"/>
      <c r="G423" s="22"/>
      <c r="H423" s="22"/>
      <c r="I423" s="22"/>
    </row>
    <row r="424" spans="5:9">
      <c r="E424" s="22"/>
      <c r="F424" s="22"/>
      <c r="G424" s="22"/>
      <c r="H424" s="22"/>
      <c r="I424" s="22"/>
    </row>
    <row r="425" spans="5:9">
      <c r="E425" s="22"/>
      <c r="F425" s="22"/>
      <c r="G425" s="22"/>
      <c r="H425" s="22"/>
      <c r="I425" s="22"/>
    </row>
    <row r="426" spans="5:9">
      <c r="E426" s="22"/>
      <c r="F426" s="22"/>
      <c r="G426" s="22"/>
      <c r="H426" s="22"/>
      <c r="I426" s="22"/>
    </row>
    <row r="427" spans="5:9">
      <c r="E427" s="22"/>
      <c r="F427" s="22"/>
      <c r="G427" s="22"/>
      <c r="H427" s="22"/>
      <c r="I427" s="22"/>
    </row>
    <row r="428" spans="5:9">
      <c r="E428" s="22"/>
      <c r="F428" s="22"/>
      <c r="G428" s="22"/>
      <c r="H428" s="22"/>
      <c r="I428" s="22"/>
    </row>
    <row r="429" spans="5:9">
      <c r="E429" s="22"/>
      <c r="F429" s="22"/>
      <c r="G429" s="22"/>
      <c r="H429" s="22"/>
      <c r="I429" s="22"/>
    </row>
    <row r="430" spans="5:9">
      <c r="E430" s="22"/>
      <c r="F430" s="22"/>
      <c r="G430" s="22"/>
      <c r="H430" s="22"/>
      <c r="I430" s="22"/>
    </row>
    <row r="431" spans="5:9">
      <c r="E431" s="22"/>
      <c r="F431" s="22"/>
      <c r="G431" s="22"/>
      <c r="H431" s="22"/>
      <c r="I431" s="22"/>
    </row>
    <row r="432" spans="5:9">
      <c r="E432" s="22"/>
      <c r="F432" s="22"/>
      <c r="G432" s="22"/>
      <c r="H432" s="22"/>
      <c r="I432" s="22"/>
    </row>
    <row r="433" spans="5:9">
      <c r="E433" s="22"/>
      <c r="F433" s="22"/>
      <c r="G433" s="22"/>
      <c r="H433" s="22"/>
      <c r="I433" s="22"/>
    </row>
    <row r="434" spans="5:9">
      <c r="E434" s="22"/>
      <c r="F434" s="22"/>
      <c r="G434" s="22"/>
      <c r="H434" s="22"/>
      <c r="I434" s="22"/>
    </row>
    <row r="435" spans="5:9">
      <c r="E435" s="22"/>
      <c r="F435" s="22"/>
      <c r="G435" s="22"/>
      <c r="H435" s="22"/>
      <c r="I435" s="22"/>
    </row>
    <row r="436" spans="5:9">
      <c r="E436" s="22"/>
      <c r="F436" s="22"/>
      <c r="G436" s="22"/>
      <c r="H436" s="22"/>
      <c r="I436" s="22"/>
    </row>
    <row r="437" spans="5:9">
      <c r="E437" s="22"/>
      <c r="F437" s="22"/>
      <c r="G437" s="22"/>
      <c r="H437" s="22"/>
      <c r="I437" s="22"/>
    </row>
    <row r="438" spans="5:9">
      <c r="E438" s="22"/>
      <c r="F438" s="22"/>
      <c r="G438" s="22"/>
      <c r="H438" s="22"/>
      <c r="I438" s="22"/>
    </row>
    <row r="439" spans="5:9">
      <c r="E439" s="22"/>
      <c r="F439" s="22"/>
      <c r="G439" s="22"/>
      <c r="H439" s="22"/>
      <c r="I439" s="22"/>
    </row>
    <row r="440" spans="5:9">
      <c r="E440" s="22"/>
      <c r="F440" s="22"/>
      <c r="G440" s="22"/>
      <c r="H440" s="22"/>
      <c r="I440" s="22"/>
    </row>
    <row r="441" spans="5:9">
      <c r="E441" s="22"/>
      <c r="F441" s="22"/>
      <c r="G441" s="22"/>
      <c r="H441" s="22"/>
      <c r="I441" s="22"/>
    </row>
    <row r="442" spans="5:9">
      <c r="E442" s="22"/>
      <c r="F442" s="22"/>
      <c r="G442" s="22"/>
      <c r="H442" s="22"/>
      <c r="I442" s="22"/>
    </row>
    <row r="443" spans="5:9">
      <c r="E443" s="22"/>
      <c r="F443" s="22"/>
      <c r="G443" s="22"/>
      <c r="H443" s="22"/>
      <c r="I443" s="22"/>
    </row>
    <row r="444" spans="5:9">
      <c r="E444" s="22"/>
      <c r="F444" s="22"/>
      <c r="G444" s="22"/>
      <c r="H444" s="22"/>
      <c r="I444" s="22"/>
    </row>
    <row r="445" spans="5:9">
      <c r="E445" s="22"/>
      <c r="F445" s="22"/>
      <c r="G445" s="22"/>
      <c r="H445" s="22"/>
      <c r="I445" s="22"/>
    </row>
    <row r="446" spans="5:9">
      <c r="E446" s="22"/>
      <c r="F446" s="22"/>
      <c r="G446" s="22"/>
      <c r="H446" s="22"/>
      <c r="I446" s="22"/>
    </row>
    <row r="447" spans="5:9">
      <c r="E447" s="22"/>
      <c r="F447" s="22"/>
      <c r="G447" s="22"/>
      <c r="H447" s="22"/>
      <c r="I447" s="22"/>
    </row>
    <row r="448" spans="5:9">
      <c r="E448" s="22"/>
      <c r="F448" s="22"/>
      <c r="G448" s="22"/>
      <c r="H448" s="22"/>
      <c r="I448" s="22"/>
    </row>
  </sheetData>
  <sheetProtection sheet="1" objects="1" scenarios="1"/>
  <autoFilter ref="A3:AT3" xr:uid="{EBA71E2D-BA15-43E1-81C8-413D91CF1DA7}"/>
  <conditionalFormatting sqref="E2:K2">
    <cfRule type="cellIs" dxfId="15" priority="16" operator="equal">
      <formula>"WO"</formula>
    </cfRule>
  </conditionalFormatting>
  <conditionalFormatting sqref="E2:K2">
    <cfRule type="cellIs" dxfId="14" priority="15" operator="equal">
      <formula>"Leave"</formula>
    </cfRule>
  </conditionalFormatting>
  <conditionalFormatting sqref="N2:N3">
    <cfRule type="cellIs" dxfId="13" priority="14" operator="equal">
      <formula>"WO"</formula>
    </cfRule>
  </conditionalFormatting>
  <conditionalFormatting sqref="N2:N3">
    <cfRule type="cellIs" dxfId="12" priority="13" operator="equal">
      <formula>"Leave"</formula>
    </cfRule>
  </conditionalFormatting>
  <conditionalFormatting sqref="Q5:Q21">
    <cfRule type="cellIs" dxfId="11" priority="12" operator="equal">
      <formula>"WO"</formula>
    </cfRule>
  </conditionalFormatting>
  <conditionalFormatting sqref="Q5:Q21">
    <cfRule type="cellIs" dxfId="10" priority="11" operator="equal">
      <formula>"Leave"</formula>
    </cfRule>
  </conditionalFormatting>
  <conditionalFormatting sqref="R5:R20">
    <cfRule type="cellIs" dxfId="9" priority="10" operator="equal">
      <formula>"WO"</formula>
    </cfRule>
  </conditionalFormatting>
  <conditionalFormatting sqref="R5:R20">
    <cfRule type="cellIs" dxfId="8" priority="9" operator="equal">
      <formula>"Leave"</formula>
    </cfRule>
  </conditionalFormatting>
  <conditionalFormatting sqref="R21">
    <cfRule type="cellIs" dxfId="7" priority="8" operator="equal">
      <formula>"WO"</formula>
    </cfRule>
  </conditionalFormatting>
  <conditionalFormatting sqref="R21">
    <cfRule type="cellIs" dxfId="6" priority="7" operator="equal">
      <formula>"Leave"</formula>
    </cfRule>
  </conditionalFormatting>
  <conditionalFormatting sqref="L4:L254">
    <cfRule type="cellIs" dxfId="5" priority="6" operator="equal">
      <formula>"WO"</formula>
    </cfRule>
  </conditionalFormatting>
  <conditionalFormatting sqref="L4:L254">
    <cfRule type="cellIs" dxfId="4" priority="5" operator="equal">
      <formula>"Leave"</formula>
    </cfRule>
  </conditionalFormatting>
  <conditionalFormatting sqref="M4:M254">
    <cfRule type="cellIs" dxfId="3" priority="4" operator="equal">
      <formula>"WO"</formula>
    </cfRule>
  </conditionalFormatting>
  <conditionalFormatting sqref="M4:M254">
    <cfRule type="cellIs" dxfId="2" priority="3" operator="equal">
      <formula>"Leave"</formula>
    </cfRule>
  </conditionalFormatting>
  <conditionalFormatting sqref="AR14">
    <cfRule type="cellIs" dxfId="1" priority="2" operator="equal">
      <formula>"WO"</formula>
    </cfRule>
  </conditionalFormatting>
  <conditionalFormatting sqref="AR14">
    <cfRule type="cellIs" dxfId="0" priority="1" operator="equal">
      <formula>"Leave"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2026-09-23T06:33:04Z</dcterms:created>
  <dcterms:modified xsi:type="dcterms:W3CDTF">2026-09-23T06:34:50Z</dcterms:modified>
  <cp:category/>
  <cp:contentStatus/>
</cp:coreProperties>
</file>