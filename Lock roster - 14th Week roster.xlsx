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82DDAAD8-AA6D-4BFD-B2B5-FA1092A13BC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k 14 Nov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54" i="2" l="1" a="1"/>
  <c r="T254" i="2" s="1"/>
  <c r="S254" i="2" a="1"/>
  <c r="S254" i="2" s="1"/>
  <c r="T253" i="2" a="1"/>
  <c r="T253" i="2" s="1"/>
  <c r="S253" i="2" a="1"/>
  <c r="S253" i="2" s="1"/>
  <c r="T252" i="2" a="1"/>
  <c r="T252" i="2" s="1"/>
  <c r="S252" i="2" a="1"/>
  <c r="S252" i="2" s="1"/>
  <c r="T251" i="2" a="1"/>
  <c r="T251" i="2" s="1"/>
  <c r="S251" i="2" a="1"/>
  <c r="S251" i="2" s="1"/>
  <c r="T250" i="2" a="1"/>
  <c r="T250" i="2" s="1"/>
  <c r="S250" i="2" a="1"/>
  <c r="S250" i="2" s="1"/>
  <c r="T249" i="2" a="1"/>
  <c r="T249" i="2" s="1"/>
  <c r="S249" i="2" a="1"/>
  <c r="S249" i="2" s="1"/>
  <c r="T248" i="2" a="1"/>
  <c r="T248" i="2" s="1"/>
  <c r="S248" i="2" a="1"/>
  <c r="S248" i="2" s="1"/>
  <c r="T247" i="2" a="1"/>
  <c r="T247" i="2" s="1"/>
  <c r="S247" i="2" a="1"/>
  <c r="S247" i="2" s="1"/>
  <c r="T246" i="2" a="1"/>
  <c r="T246" i="2" s="1"/>
  <c r="S246" i="2" a="1"/>
  <c r="S246" i="2" s="1"/>
  <c r="T245" i="2" a="1"/>
  <c r="T245" i="2" s="1"/>
  <c r="S245" i="2" a="1"/>
  <c r="S245" i="2" s="1"/>
  <c r="T244" i="2" a="1"/>
  <c r="T244" i="2" s="1"/>
  <c r="S244" i="2" a="1"/>
  <c r="S244" i="2" s="1"/>
  <c r="T243" i="2" a="1"/>
  <c r="T243" i="2" s="1"/>
  <c r="S243" i="2" a="1"/>
  <c r="S243" i="2" s="1"/>
  <c r="T242" i="2" a="1"/>
  <c r="T242" i="2" s="1"/>
  <c r="S242" i="2" a="1"/>
  <c r="S242" i="2" s="1"/>
  <c r="T241" i="2" a="1"/>
  <c r="T241" i="2" s="1"/>
  <c r="S241" i="2" a="1"/>
  <c r="S241" i="2" s="1"/>
  <c r="T240" i="2" a="1"/>
  <c r="T240" i="2" s="1"/>
  <c r="S240" i="2" a="1"/>
  <c r="S240" i="2" s="1"/>
  <c r="T239" i="2" a="1"/>
  <c r="T239" i="2" s="1"/>
  <c r="S239" i="2" a="1"/>
  <c r="S239" i="2" s="1"/>
  <c r="T238" i="2" a="1"/>
  <c r="T238" i="2" s="1"/>
  <c r="S238" i="2" a="1"/>
  <c r="S238" i="2" s="1"/>
  <c r="T237" i="2" a="1"/>
  <c r="T237" i="2" s="1"/>
  <c r="S237" i="2" a="1"/>
  <c r="S237" i="2" s="1"/>
  <c r="T236" i="2" a="1"/>
  <c r="T236" i="2" s="1"/>
  <c r="S236" i="2" a="1"/>
  <c r="S236" i="2" s="1"/>
  <c r="T235" i="2" a="1"/>
  <c r="T235" i="2" s="1"/>
  <c r="S235" i="2" a="1"/>
  <c r="S235" i="2" s="1"/>
  <c r="T234" i="2" a="1"/>
  <c r="T234" i="2" s="1"/>
  <c r="S234" i="2" a="1"/>
  <c r="S234" i="2" s="1"/>
  <c r="T233" i="2" a="1"/>
  <c r="T233" i="2" s="1"/>
  <c r="S233" i="2" a="1"/>
  <c r="S233" i="2" s="1"/>
  <c r="T232" i="2" a="1"/>
  <c r="T232" i="2" s="1"/>
  <c r="S232" i="2" a="1"/>
  <c r="S232" i="2" s="1"/>
  <c r="T231" i="2" a="1"/>
  <c r="T231" i="2" s="1"/>
  <c r="S231" i="2" a="1"/>
  <c r="S231" i="2" s="1"/>
  <c r="T230" i="2" a="1"/>
  <c r="T230" i="2" s="1"/>
  <c r="S230" i="2" a="1"/>
  <c r="S230" i="2" s="1"/>
  <c r="T229" i="2" a="1"/>
  <c r="T229" i="2" s="1"/>
  <c r="S229" i="2" a="1"/>
  <c r="S229" i="2" s="1"/>
  <c r="T228" i="2" a="1"/>
  <c r="T228" i="2" s="1"/>
  <c r="S228" i="2" a="1"/>
  <c r="S228" i="2" s="1"/>
  <c r="T227" i="2" a="1"/>
  <c r="T227" i="2" s="1"/>
  <c r="S227" i="2" a="1"/>
  <c r="S227" i="2" s="1"/>
  <c r="T226" i="2" a="1"/>
  <c r="T226" i="2" s="1"/>
  <c r="S226" i="2" a="1"/>
  <c r="S226" i="2" s="1"/>
  <c r="T225" i="2" a="1"/>
  <c r="T225" i="2" s="1"/>
  <c r="S225" i="2" a="1"/>
  <c r="S225" i="2" s="1"/>
  <c r="T224" i="2" a="1"/>
  <c r="T224" i="2" s="1"/>
  <c r="S224" i="2" a="1"/>
  <c r="S224" i="2" s="1"/>
  <c r="T223" i="2" a="1"/>
  <c r="T223" i="2" s="1"/>
  <c r="S223" i="2" a="1"/>
  <c r="S223" i="2" s="1"/>
  <c r="T222" i="2" a="1"/>
  <c r="T222" i="2" s="1"/>
  <c r="S222" i="2" a="1"/>
  <c r="S222" i="2" s="1"/>
  <c r="T221" i="2" a="1"/>
  <c r="T221" i="2" s="1"/>
  <c r="S221" i="2" a="1"/>
  <c r="S221" i="2" s="1"/>
  <c r="T220" i="2" a="1"/>
  <c r="T220" i="2" s="1"/>
  <c r="S220" i="2" a="1"/>
  <c r="S220" i="2" s="1"/>
  <c r="T219" i="2" a="1"/>
  <c r="T219" i="2" s="1"/>
  <c r="S219" i="2" a="1"/>
  <c r="S219" i="2" s="1"/>
  <c r="T218" i="2" a="1"/>
  <c r="T218" i="2" s="1"/>
  <c r="S218" i="2" a="1"/>
  <c r="S218" i="2" s="1"/>
  <c r="T217" i="2" a="1"/>
  <c r="T217" i="2" s="1"/>
  <c r="S217" i="2" a="1"/>
  <c r="S217" i="2" s="1"/>
  <c r="T216" i="2" a="1"/>
  <c r="T216" i="2" s="1"/>
  <c r="S216" i="2" a="1"/>
  <c r="S216" i="2" s="1"/>
  <c r="T215" i="2" a="1"/>
  <c r="T215" i="2" s="1"/>
  <c r="S215" i="2" a="1"/>
  <c r="S215" i="2" s="1"/>
  <c r="T214" i="2" a="1"/>
  <c r="T214" i="2" s="1"/>
  <c r="S214" i="2" a="1"/>
  <c r="S214" i="2" s="1"/>
  <c r="T213" i="2" a="1"/>
  <c r="T213" i="2" s="1"/>
  <c r="S213" i="2" a="1"/>
  <c r="S213" i="2" s="1"/>
  <c r="T212" i="2" a="1"/>
  <c r="T212" i="2" s="1"/>
  <c r="S212" i="2" a="1"/>
  <c r="S212" i="2" s="1"/>
  <c r="T211" i="2" a="1"/>
  <c r="T211" i="2" s="1"/>
  <c r="S211" i="2" a="1"/>
  <c r="S211" i="2" s="1"/>
  <c r="T210" i="2" a="1"/>
  <c r="T210" i="2" s="1"/>
  <c r="S210" i="2" a="1"/>
  <c r="S210" i="2" s="1"/>
  <c r="T209" i="2" a="1"/>
  <c r="T209" i="2" s="1"/>
  <c r="S209" i="2" a="1"/>
  <c r="S209" i="2" s="1"/>
  <c r="T208" i="2" a="1"/>
  <c r="T208" i="2" s="1"/>
  <c r="S208" i="2" a="1"/>
  <c r="S208" i="2" s="1"/>
  <c r="T207" i="2" a="1"/>
  <c r="T207" i="2" s="1"/>
  <c r="S207" i="2" a="1"/>
  <c r="S207" i="2" s="1"/>
  <c r="T206" i="2" a="1"/>
  <c r="T206" i="2" s="1"/>
  <c r="S206" i="2" a="1"/>
  <c r="S206" i="2" s="1"/>
  <c r="T205" i="2" a="1"/>
  <c r="T205" i="2" s="1"/>
  <c r="S205" i="2" a="1"/>
  <c r="S205" i="2" s="1"/>
  <c r="T204" i="2" a="1"/>
  <c r="T204" i="2" s="1"/>
  <c r="S204" i="2" a="1"/>
  <c r="S204" i="2" s="1"/>
  <c r="T203" i="2" a="1"/>
  <c r="T203" i="2" s="1"/>
  <c r="S203" i="2" a="1"/>
  <c r="S203" i="2" s="1"/>
  <c r="T202" i="2" a="1"/>
  <c r="T202" i="2" s="1"/>
  <c r="S202" i="2" a="1"/>
  <c r="S202" i="2" s="1"/>
  <c r="T201" i="2" a="1"/>
  <c r="T201" i="2" s="1"/>
  <c r="S201" i="2" a="1"/>
  <c r="S201" i="2" s="1"/>
  <c r="T200" i="2" a="1"/>
  <c r="T200" i="2" s="1"/>
  <c r="S200" i="2" a="1"/>
  <c r="S200" i="2" s="1"/>
  <c r="T199" i="2" a="1"/>
  <c r="T199" i="2" s="1"/>
  <c r="S199" i="2" a="1"/>
  <c r="S199" i="2" s="1"/>
  <c r="T198" i="2" a="1"/>
  <c r="T198" i="2" s="1"/>
  <c r="S198" i="2" a="1"/>
  <c r="S198" i="2" s="1"/>
  <c r="T197" i="2" a="1"/>
  <c r="T197" i="2" s="1"/>
  <c r="S197" i="2" a="1"/>
  <c r="S197" i="2" s="1"/>
  <c r="T196" i="2" a="1"/>
  <c r="T196" i="2" s="1"/>
  <c r="S196" i="2" a="1"/>
  <c r="S196" i="2" s="1"/>
  <c r="T195" i="2" a="1"/>
  <c r="T195" i="2" s="1"/>
  <c r="S195" i="2" a="1"/>
  <c r="S195" i="2" s="1"/>
  <c r="T194" i="2" a="1"/>
  <c r="T194" i="2" s="1"/>
  <c r="S194" i="2" a="1"/>
  <c r="S194" i="2" s="1"/>
  <c r="T193" i="2" a="1"/>
  <c r="T193" i="2" s="1"/>
  <c r="S193" i="2" a="1"/>
  <c r="S193" i="2" s="1"/>
  <c r="T192" i="2" a="1"/>
  <c r="T192" i="2" s="1"/>
  <c r="S192" i="2" a="1"/>
  <c r="S192" i="2" s="1"/>
  <c r="T191" i="2" a="1"/>
  <c r="T191" i="2" s="1"/>
  <c r="S191" i="2" a="1"/>
  <c r="S191" i="2" s="1"/>
  <c r="T190" i="2" a="1"/>
  <c r="T190" i="2" s="1"/>
  <c r="S190" i="2" a="1"/>
  <c r="S190" i="2" s="1"/>
  <c r="T189" i="2" a="1"/>
  <c r="T189" i="2" s="1"/>
  <c r="S189" i="2" a="1"/>
  <c r="S189" i="2" s="1"/>
  <c r="T188" i="2" a="1"/>
  <c r="T188" i="2" s="1"/>
  <c r="S188" i="2" a="1"/>
  <c r="S188" i="2" s="1"/>
  <c r="T187" i="2" a="1"/>
  <c r="T187" i="2" s="1"/>
  <c r="S187" i="2" a="1"/>
  <c r="S187" i="2" s="1"/>
  <c r="T186" i="2" a="1"/>
  <c r="T186" i="2" s="1"/>
  <c r="S186" i="2" a="1"/>
  <c r="S186" i="2" s="1"/>
  <c r="T185" i="2" a="1"/>
  <c r="T185" i="2" s="1"/>
  <c r="S185" i="2" a="1"/>
  <c r="S185" i="2" s="1"/>
  <c r="T184" i="2" a="1"/>
  <c r="T184" i="2" s="1"/>
  <c r="S184" i="2" a="1"/>
  <c r="S184" i="2" s="1"/>
  <c r="T183" i="2" a="1"/>
  <c r="T183" i="2" s="1"/>
  <c r="S183" i="2" a="1"/>
  <c r="S183" i="2" s="1"/>
  <c r="T182" i="2" a="1"/>
  <c r="T182" i="2" s="1"/>
  <c r="S182" i="2" a="1"/>
  <c r="S182" i="2" s="1"/>
  <c r="T181" i="2" a="1"/>
  <c r="T181" i="2" s="1"/>
  <c r="S181" i="2" a="1"/>
  <c r="S181" i="2" s="1"/>
  <c r="T180" i="2" a="1"/>
  <c r="T180" i="2" s="1"/>
  <c r="S180" i="2" a="1"/>
  <c r="S180" i="2" s="1"/>
  <c r="T179" i="2" a="1"/>
  <c r="T179" i="2" s="1"/>
  <c r="S179" i="2" a="1"/>
  <c r="S179" i="2" s="1"/>
  <c r="T178" i="2" a="1"/>
  <c r="T178" i="2" s="1"/>
  <c r="S178" i="2" a="1"/>
  <c r="S178" i="2" s="1"/>
  <c r="T177" i="2" a="1"/>
  <c r="T177" i="2" s="1"/>
  <c r="S177" i="2" a="1"/>
  <c r="S177" i="2" s="1"/>
  <c r="T176" i="2" a="1"/>
  <c r="T176" i="2" s="1"/>
  <c r="S176" i="2" a="1"/>
  <c r="S176" i="2" s="1"/>
  <c r="T175" i="2" a="1"/>
  <c r="T175" i="2" s="1"/>
  <c r="S175" i="2" a="1"/>
  <c r="S175" i="2" s="1"/>
  <c r="T174" i="2" a="1"/>
  <c r="T174" i="2" s="1"/>
  <c r="S174" i="2" a="1"/>
  <c r="S174" i="2" s="1"/>
  <c r="T173" i="2" a="1"/>
  <c r="T173" i="2" s="1"/>
  <c r="S173" i="2" a="1"/>
  <c r="S173" i="2" s="1"/>
  <c r="T172" i="2" a="1"/>
  <c r="T172" i="2" s="1"/>
  <c r="S172" i="2" a="1"/>
  <c r="S172" i="2" s="1"/>
  <c r="T171" i="2" a="1"/>
  <c r="T171" i="2" s="1"/>
  <c r="S171" i="2" a="1"/>
  <c r="S171" i="2" s="1"/>
  <c r="T170" i="2" a="1"/>
  <c r="T170" i="2" s="1"/>
  <c r="S170" i="2" a="1"/>
  <c r="S170" i="2" s="1"/>
  <c r="T169" i="2" a="1"/>
  <c r="T169" i="2" s="1"/>
  <c r="S169" i="2" a="1"/>
  <c r="S169" i="2" s="1"/>
  <c r="T168" i="2" a="1"/>
  <c r="T168" i="2" s="1"/>
  <c r="S168" i="2" a="1"/>
  <c r="S168" i="2" s="1"/>
  <c r="T167" i="2" a="1"/>
  <c r="T167" i="2" s="1"/>
  <c r="S167" i="2" a="1"/>
  <c r="S167" i="2" s="1"/>
  <c r="T166" i="2" a="1"/>
  <c r="T166" i="2" s="1"/>
  <c r="S166" i="2" a="1"/>
  <c r="S166" i="2" s="1"/>
  <c r="T165" i="2" a="1"/>
  <c r="T165" i="2" s="1"/>
  <c r="S165" i="2" a="1"/>
  <c r="S165" i="2" s="1"/>
  <c r="T164" i="2" a="1"/>
  <c r="T164" i="2" s="1"/>
  <c r="S164" i="2" a="1"/>
  <c r="S164" i="2" s="1"/>
  <c r="T163" i="2" a="1"/>
  <c r="T163" i="2" s="1"/>
  <c r="S163" i="2" a="1"/>
  <c r="S163" i="2" s="1"/>
  <c r="T162" i="2" a="1"/>
  <c r="T162" i="2" s="1"/>
  <c r="S162" i="2" a="1"/>
  <c r="S162" i="2" s="1"/>
  <c r="T161" i="2" a="1"/>
  <c r="T161" i="2" s="1"/>
  <c r="S161" i="2" a="1"/>
  <c r="S161" i="2" s="1"/>
  <c r="T160" i="2" a="1"/>
  <c r="T160" i="2" s="1"/>
  <c r="S160" i="2" a="1"/>
  <c r="S160" i="2" s="1"/>
  <c r="T159" i="2" a="1"/>
  <c r="T159" i="2" s="1"/>
  <c r="S159" i="2" a="1"/>
  <c r="S159" i="2" s="1"/>
  <c r="T158" i="2" a="1"/>
  <c r="T158" i="2" s="1"/>
  <c r="S158" i="2" a="1"/>
  <c r="S158" i="2" s="1"/>
  <c r="T157" i="2" a="1"/>
  <c r="T157" i="2" s="1"/>
  <c r="S157" i="2" a="1"/>
  <c r="S157" i="2" s="1"/>
  <c r="T156" i="2" a="1"/>
  <c r="T156" i="2" s="1"/>
  <c r="S156" i="2" a="1"/>
  <c r="S156" i="2" s="1"/>
  <c r="T155" i="2" a="1"/>
  <c r="T155" i="2" s="1"/>
  <c r="S155" i="2" a="1"/>
  <c r="S155" i="2" s="1"/>
  <c r="T154" i="2" a="1"/>
  <c r="T154" i="2" s="1"/>
  <c r="S154" i="2" a="1"/>
  <c r="S154" i="2" s="1"/>
  <c r="T153" i="2" a="1"/>
  <c r="T153" i="2" s="1"/>
  <c r="S153" i="2" a="1"/>
  <c r="S153" i="2" s="1"/>
  <c r="T152" i="2" a="1"/>
  <c r="T152" i="2" s="1"/>
  <c r="S152" i="2" a="1"/>
  <c r="S152" i="2" s="1"/>
  <c r="T151" i="2" a="1"/>
  <c r="T151" i="2" s="1"/>
  <c r="S151" i="2" a="1"/>
  <c r="S151" i="2" s="1"/>
  <c r="T150" i="2" a="1"/>
  <c r="T150" i="2" s="1"/>
  <c r="S150" i="2" a="1"/>
  <c r="S150" i="2" s="1"/>
  <c r="T149" i="2" a="1"/>
  <c r="T149" i="2" s="1"/>
  <c r="S149" i="2" a="1"/>
  <c r="S149" i="2" s="1"/>
  <c r="T148" i="2" a="1"/>
  <c r="T148" i="2" s="1"/>
  <c r="S148" i="2" a="1"/>
  <c r="S148" i="2" s="1"/>
  <c r="T147" i="2" a="1"/>
  <c r="T147" i="2" s="1"/>
  <c r="S147" i="2" a="1"/>
  <c r="S147" i="2" s="1"/>
  <c r="T146" i="2" a="1"/>
  <c r="T146" i="2" s="1"/>
  <c r="S146" i="2" a="1"/>
  <c r="S146" i="2" s="1"/>
  <c r="T145" i="2" a="1"/>
  <c r="T145" i="2" s="1"/>
  <c r="S145" i="2" a="1"/>
  <c r="S145" i="2" s="1"/>
  <c r="T144" i="2" a="1"/>
  <c r="T144" i="2" s="1"/>
  <c r="S144" i="2" a="1"/>
  <c r="S144" i="2" s="1"/>
  <c r="T143" i="2" a="1"/>
  <c r="T143" i="2" s="1"/>
  <c r="S143" i="2" a="1"/>
  <c r="S143" i="2" s="1"/>
  <c r="T142" i="2" a="1"/>
  <c r="T142" i="2" s="1"/>
  <c r="S142" i="2" a="1"/>
  <c r="S142" i="2" s="1"/>
  <c r="T141" i="2" a="1"/>
  <c r="T141" i="2" s="1"/>
  <c r="S141" i="2" a="1"/>
  <c r="S141" i="2" s="1"/>
  <c r="T140" i="2" a="1"/>
  <c r="T140" i="2" s="1"/>
  <c r="S140" i="2" a="1"/>
  <c r="S140" i="2" s="1"/>
  <c r="T139" i="2" a="1"/>
  <c r="T139" i="2" s="1"/>
  <c r="S139" i="2" a="1"/>
  <c r="S139" i="2" s="1"/>
  <c r="T138" i="2" a="1"/>
  <c r="T138" i="2" s="1"/>
  <c r="S138" i="2" a="1"/>
  <c r="S138" i="2" s="1"/>
  <c r="T137" i="2" a="1"/>
  <c r="T137" i="2" s="1"/>
  <c r="S137" i="2" a="1"/>
  <c r="S137" i="2" s="1"/>
  <c r="T136" i="2" a="1"/>
  <c r="T136" i="2" s="1"/>
  <c r="S136" i="2" a="1"/>
  <c r="S136" i="2" s="1"/>
  <c r="T135" i="2" a="1"/>
  <c r="T135" i="2" s="1"/>
  <c r="S135" i="2" a="1"/>
  <c r="S135" i="2" s="1"/>
  <c r="T134" i="2" a="1"/>
  <c r="T134" i="2" s="1"/>
  <c r="S134" i="2" a="1"/>
  <c r="S134" i="2" s="1"/>
  <c r="T133" i="2" a="1"/>
  <c r="T133" i="2" s="1"/>
  <c r="S133" i="2" a="1"/>
  <c r="S133" i="2" s="1"/>
  <c r="T132" i="2" a="1"/>
  <c r="T132" i="2" s="1"/>
  <c r="S132" i="2" a="1"/>
  <c r="S132" i="2" s="1"/>
  <c r="T131" i="2" a="1"/>
  <c r="T131" i="2" s="1"/>
  <c r="S131" i="2" a="1"/>
  <c r="S131" i="2" s="1"/>
  <c r="T130" i="2" a="1"/>
  <c r="T130" i="2" s="1"/>
  <c r="S130" i="2" a="1"/>
  <c r="S130" i="2" s="1"/>
  <c r="T129" i="2" a="1"/>
  <c r="T129" i="2" s="1"/>
  <c r="S129" i="2" a="1"/>
  <c r="S129" i="2" s="1"/>
  <c r="T128" i="2" a="1"/>
  <c r="T128" i="2" s="1"/>
  <c r="S128" i="2" a="1"/>
  <c r="S128" i="2" s="1"/>
  <c r="T127" i="2" a="1"/>
  <c r="T127" i="2" s="1"/>
  <c r="S127" i="2" a="1"/>
  <c r="S127" i="2" s="1"/>
  <c r="T126" i="2" a="1"/>
  <c r="T126" i="2" s="1"/>
  <c r="S126" i="2" a="1"/>
  <c r="S126" i="2" s="1"/>
  <c r="T125" i="2" a="1"/>
  <c r="T125" i="2" s="1"/>
  <c r="S125" i="2" a="1"/>
  <c r="S125" i="2" s="1"/>
  <c r="T124" i="2" a="1"/>
  <c r="T124" i="2" s="1"/>
  <c r="S124" i="2" a="1"/>
  <c r="S124" i="2" s="1"/>
  <c r="T123" i="2" a="1"/>
  <c r="T123" i="2" s="1"/>
  <c r="S123" i="2" a="1"/>
  <c r="S123" i="2" s="1"/>
  <c r="T122" i="2" a="1"/>
  <c r="T122" i="2" s="1"/>
  <c r="S122" i="2" a="1"/>
  <c r="S122" i="2" s="1"/>
  <c r="T121" i="2" a="1"/>
  <c r="T121" i="2" s="1"/>
  <c r="S121" i="2" a="1"/>
  <c r="S121" i="2" s="1"/>
  <c r="T120" i="2" a="1"/>
  <c r="T120" i="2" s="1"/>
  <c r="S120" i="2" a="1"/>
  <c r="S120" i="2" s="1"/>
  <c r="T119" i="2" a="1"/>
  <c r="T119" i="2" s="1"/>
  <c r="S119" i="2" a="1"/>
  <c r="S119" i="2" s="1"/>
  <c r="T118" i="2" a="1"/>
  <c r="T118" i="2" s="1"/>
  <c r="S118" i="2" a="1"/>
  <c r="S118" i="2" s="1"/>
  <c r="T117" i="2" a="1"/>
  <c r="T117" i="2" s="1"/>
  <c r="S117" i="2" a="1"/>
  <c r="S117" i="2" s="1"/>
  <c r="T116" i="2" a="1"/>
  <c r="T116" i="2" s="1"/>
  <c r="S116" i="2" a="1"/>
  <c r="S116" i="2" s="1"/>
  <c r="T115" i="2" a="1"/>
  <c r="T115" i="2" s="1"/>
  <c r="S115" i="2" a="1"/>
  <c r="S115" i="2" s="1"/>
  <c r="T114" i="2" a="1"/>
  <c r="T114" i="2" s="1"/>
  <c r="S114" i="2" a="1"/>
  <c r="S114" i="2" s="1"/>
  <c r="T113" i="2" a="1"/>
  <c r="T113" i="2" s="1"/>
  <c r="S113" i="2" a="1"/>
  <c r="S113" i="2" s="1"/>
  <c r="T112" i="2" a="1"/>
  <c r="T112" i="2" s="1"/>
  <c r="S112" i="2" a="1"/>
  <c r="S112" i="2" s="1"/>
  <c r="T111" i="2" a="1"/>
  <c r="T111" i="2" s="1"/>
  <c r="S111" i="2" a="1"/>
  <c r="S111" i="2" s="1"/>
  <c r="T110" i="2" a="1"/>
  <c r="T110" i="2" s="1"/>
  <c r="S110" i="2" a="1"/>
  <c r="S110" i="2" s="1"/>
  <c r="T109" i="2" a="1"/>
  <c r="T109" i="2" s="1"/>
  <c r="S109" i="2" a="1"/>
  <c r="S109" i="2" s="1"/>
  <c r="T108" i="2" a="1"/>
  <c r="T108" i="2" s="1"/>
  <c r="S108" i="2" a="1"/>
  <c r="S108" i="2" s="1"/>
  <c r="T107" i="2" a="1"/>
  <c r="T107" i="2" s="1"/>
  <c r="S107" i="2" a="1"/>
  <c r="S107" i="2" s="1"/>
  <c r="T106" i="2" a="1"/>
  <c r="T106" i="2" s="1"/>
  <c r="S106" i="2" a="1"/>
  <c r="S106" i="2" s="1"/>
  <c r="T105" i="2" a="1"/>
  <c r="T105" i="2" s="1"/>
  <c r="S105" i="2" a="1"/>
  <c r="S105" i="2" s="1"/>
  <c r="T104" i="2" a="1"/>
  <c r="T104" i="2" s="1"/>
  <c r="S104" i="2" a="1"/>
  <c r="S104" i="2" s="1"/>
  <c r="T103" i="2" a="1"/>
  <c r="T103" i="2" s="1"/>
  <c r="S103" i="2" a="1"/>
  <c r="S103" i="2" s="1"/>
  <c r="T102" i="2" a="1"/>
  <c r="T102" i="2" s="1"/>
  <c r="S102" i="2" a="1"/>
  <c r="S102" i="2" s="1"/>
  <c r="T101" i="2" a="1"/>
  <c r="T101" i="2" s="1"/>
  <c r="S101" i="2" a="1"/>
  <c r="S101" i="2" s="1"/>
  <c r="T100" i="2" a="1"/>
  <c r="T100" i="2" s="1"/>
  <c r="S100" i="2" a="1"/>
  <c r="S100" i="2" s="1"/>
  <c r="T99" i="2" a="1"/>
  <c r="T99" i="2" s="1"/>
  <c r="S99" i="2" a="1"/>
  <c r="S99" i="2" s="1"/>
  <c r="T98" i="2" a="1"/>
  <c r="T98" i="2" s="1"/>
  <c r="S98" i="2" a="1"/>
  <c r="S98" i="2" s="1"/>
  <c r="T97" i="2" a="1"/>
  <c r="T97" i="2" s="1"/>
  <c r="S97" i="2" a="1"/>
  <c r="S97" i="2" s="1"/>
  <c r="T96" i="2" a="1"/>
  <c r="T96" i="2" s="1"/>
  <c r="S96" i="2" a="1"/>
  <c r="S96" i="2" s="1"/>
  <c r="T95" i="2" a="1"/>
  <c r="T95" i="2" s="1"/>
  <c r="S95" i="2" a="1"/>
  <c r="S95" i="2" s="1"/>
  <c r="T94" i="2" a="1"/>
  <c r="T94" i="2" s="1"/>
  <c r="S94" i="2" a="1"/>
  <c r="S94" i="2" s="1"/>
  <c r="T93" i="2" a="1"/>
  <c r="T93" i="2" s="1"/>
  <c r="S93" i="2" a="1"/>
  <c r="S93" i="2" s="1"/>
  <c r="T92" i="2" a="1"/>
  <c r="T92" i="2" s="1"/>
  <c r="S92" i="2" a="1"/>
  <c r="S92" i="2" s="1"/>
  <c r="T91" i="2" a="1"/>
  <c r="T91" i="2" s="1"/>
  <c r="S91" i="2" a="1"/>
  <c r="S91" i="2" s="1"/>
  <c r="T90" i="2" a="1"/>
  <c r="T90" i="2" s="1"/>
  <c r="S90" i="2" a="1"/>
  <c r="S90" i="2" s="1"/>
  <c r="T89" i="2" a="1"/>
  <c r="T89" i="2" s="1"/>
  <c r="S89" i="2" a="1"/>
  <c r="S89" i="2" s="1"/>
  <c r="T88" i="2" a="1"/>
  <c r="T88" i="2" s="1"/>
  <c r="S88" i="2" a="1"/>
  <c r="S88" i="2" s="1"/>
  <c r="T87" i="2" a="1"/>
  <c r="T87" i="2" s="1"/>
  <c r="S87" i="2" a="1"/>
  <c r="S87" i="2" s="1"/>
  <c r="T86" i="2" a="1"/>
  <c r="T86" i="2" s="1"/>
  <c r="S86" i="2" a="1"/>
  <c r="S86" i="2" s="1"/>
  <c r="T85" i="2" a="1"/>
  <c r="T85" i="2" s="1"/>
  <c r="S85" i="2" a="1"/>
  <c r="S85" i="2" s="1"/>
  <c r="T84" i="2" a="1"/>
  <c r="T84" i="2" s="1"/>
  <c r="S84" i="2" a="1"/>
  <c r="S84" i="2" s="1"/>
  <c r="T83" i="2" a="1"/>
  <c r="T83" i="2" s="1"/>
  <c r="S83" i="2" a="1"/>
  <c r="S83" i="2" s="1"/>
  <c r="T82" i="2" a="1"/>
  <c r="T82" i="2" s="1"/>
  <c r="S82" i="2" a="1"/>
  <c r="S82" i="2" s="1"/>
  <c r="T81" i="2" a="1"/>
  <c r="T81" i="2" s="1"/>
  <c r="S81" i="2" a="1"/>
  <c r="S81" i="2" s="1"/>
  <c r="T80" i="2" a="1"/>
  <c r="T80" i="2" s="1"/>
  <c r="S80" i="2" a="1"/>
  <c r="S80" i="2" s="1"/>
  <c r="T79" i="2" a="1"/>
  <c r="T79" i="2" s="1"/>
  <c r="S79" i="2" a="1"/>
  <c r="S79" i="2" s="1"/>
  <c r="T78" i="2" a="1"/>
  <c r="T78" i="2" s="1"/>
  <c r="S78" i="2" a="1"/>
  <c r="S78" i="2" s="1"/>
  <c r="T77" i="2" a="1"/>
  <c r="T77" i="2" s="1"/>
  <c r="S77" i="2" a="1"/>
  <c r="S77" i="2" s="1"/>
  <c r="T76" i="2" a="1"/>
  <c r="T76" i="2" s="1"/>
  <c r="S76" i="2" a="1"/>
  <c r="S76" i="2" s="1"/>
  <c r="T75" i="2" a="1"/>
  <c r="T75" i="2" s="1"/>
  <c r="S75" i="2" a="1"/>
  <c r="S75" i="2" s="1"/>
  <c r="T74" i="2" a="1"/>
  <c r="T74" i="2" s="1"/>
  <c r="S74" i="2" a="1"/>
  <c r="S74" i="2" s="1"/>
  <c r="T73" i="2" a="1"/>
  <c r="T73" i="2" s="1"/>
  <c r="S73" i="2" a="1"/>
  <c r="S73" i="2" s="1"/>
  <c r="T72" i="2" a="1"/>
  <c r="T72" i="2" s="1"/>
  <c r="S72" i="2" a="1"/>
  <c r="S72" i="2" s="1"/>
  <c r="T71" i="2" a="1"/>
  <c r="T71" i="2" s="1"/>
  <c r="S71" i="2" a="1"/>
  <c r="S71" i="2" s="1"/>
  <c r="T70" i="2" a="1"/>
  <c r="T70" i="2" s="1"/>
  <c r="S70" i="2" a="1"/>
  <c r="S70" i="2" s="1"/>
  <c r="T69" i="2" a="1"/>
  <c r="T69" i="2" s="1"/>
  <c r="S69" i="2" a="1"/>
  <c r="S69" i="2" s="1"/>
  <c r="T68" i="2" a="1"/>
  <c r="T68" i="2" s="1"/>
  <c r="S68" i="2" a="1"/>
  <c r="S68" i="2" s="1"/>
  <c r="T67" i="2" a="1"/>
  <c r="T67" i="2" s="1"/>
  <c r="S67" i="2" a="1"/>
  <c r="S67" i="2" s="1"/>
  <c r="T66" i="2" a="1"/>
  <c r="T66" i="2" s="1"/>
  <c r="S66" i="2" a="1"/>
  <c r="S66" i="2" s="1"/>
  <c r="T65" i="2" a="1"/>
  <c r="T65" i="2" s="1"/>
  <c r="S65" i="2" a="1"/>
  <c r="S65" i="2" s="1"/>
  <c r="T64" i="2" a="1"/>
  <c r="T64" i="2" s="1"/>
  <c r="S64" i="2" a="1"/>
  <c r="S64" i="2" s="1"/>
  <c r="T63" i="2" a="1"/>
  <c r="T63" i="2" s="1"/>
  <c r="S63" i="2" a="1"/>
  <c r="S63" i="2" s="1"/>
  <c r="T62" i="2" a="1"/>
  <c r="T62" i="2" s="1"/>
  <c r="S62" i="2" a="1"/>
  <c r="S62" i="2" s="1"/>
  <c r="T61" i="2" a="1"/>
  <c r="T61" i="2" s="1"/>
  <c r="S61" i="2" a="1"/>
  <c r="S61" i="2" s="1"/>
  <c r="T60" i="2" a="1"/>
  <c r="T60" i="2" s="1"/>
  <c r="S60" i="2" a="1"/>
  <c r="S60" i="2" s="1"/>
  <c r="T59" i="2" a="1"/>
  <c r="T59" i="2" s="1"/>
  <c r="S59" i="2" a="1"/>
  <c r="S59" i="2" s="1"/>
  <c r="T58" i="2" a="1"/>
  <c r="T58" i="2" s="1"/>
  <c r="S58" i="2" a="1"/>
  <c r="S58" i="2" s="1"/>
  <c r="T57" i="2" a="1"/>
  <c r="T57" i="2" s="1"/>
  <c r="S57" i="2" a="1"/>
  <c r="S57" i="2" s="1"/>
  <c r="T56" i="2" a="1"/>
  <c r="T56" i="2" s="1"/>
  <c r="S56" i="2" a="1"/>
  <c r="S56" i="2" s="1"/>
  <c r="T55" i="2" a="1"/>
  <c r="T55" i="2" s="1"/>
  <c r="S55" i="2" a="1"/>
  <c r="S55" i="2" s="1"/>
  <c r="T54" i="2" a="1"/>
  <c r="T54" i="2" s="1"/>
  <c r="S54" i="2" a="1"/>
  <c r="S54" i="2" s="1"/>
  <c r="T53" i="2" a="1"/>
  <c r="T53" i="2" s="1"/>
  <c r="S53" i="2" a="1"/>
  <c r="S53" i="2" s="1"/>
  <c r="T52" i="2" a="1"/>
  <c r="T52" i="2" s="1"/>
  <c r="S52" i="2" a="1"/>
  <c r="S52" i="2" s="1"/>
  <c r="T51" i="2" a="1"/>
  <c r="T51" i="2" s="1"/>
  <c r="S51" i="2" a="1"/>
  <c r="S51" i="2" s="1"/>
  <c r="T50" i="2" a="1"/>
  <c r="T50" i="2" s="1"/>
  <c r="S50" i="2" a="1"/>
  <c r="S50" i="2" s="1"/>
  <c r="T49" i="2" a="1"/>
  <c r="T49" i="2" s="1"/>
  <c r="S49" i="2" a="1"/>
  <c r="S49" i="2" s="1"/>
  <c r="T48" i="2" a="1"/>
  <c r="T48" i="2" s="1"/>
  <c r="S48" i="2" a="1"/>
  <c r="S48" i="2" s="1"/>
  <c r="T47" i="2" a="1"/>
  <c r="T47" i="2" s="1"/>
  <c r="S47" i="2" a="1"/>
  <c r="S47" i="2" s="1"/>
  <c r="T46" i="2" a="1"/>
  <c r="T46" i="2" s="1"/>
  <c r="S46" i="2" a="1"/>
  <c r="S46" i="2" s="1"/>
  <c r="T45" i="2" a="1"/>
  <c r="T45" i="2" s="1"/>
  <c r="S45" i="2" a="1"/>
  <c r="S45" i="2" s="1"/>
  <c r="T44" i="2" a="1"/>
  <c r="T44" i="2" s="1"/>
  <c r="S44" i="2" a="1"/>
  <c r="S44" i="2" s="1"/>
  <c r="T43" i="2" a="1"/>
  <c r="T43" i="2" s="1"/>
  <c r="S43" i="2" a="1"/>
  <c r="S43" i="2" s="1"/>
  <c r="T42" i="2" a="1"/>
  <c r="T42" i="2" s="1"/>
  <c r="S42" i="2" a="1"/>
  <c r="S42" i="2" s="1"/>
  <c r="T41" i="2" a="1"/>
  <c r="T41" i="2" s="1"/>
  <c r="S41" i="2" a="1"/>
  <c r="S41" i="2" s="1"/>
  <c r="T40" i="2" a="1"/>
  <c r="T40" i="2" s="1"/>
  <c r="S40" i="2" a="1"/>
  <c r="S40" i="2" s="1"/>
  <c r="T39" i="2" a="1"/>
  <c r="T39" i="2" s="1"/>
  <c r="S39" i="2" a="1"/>
  <c r="S39" i="2" s="1"/>
  <c r="T38" i="2" a="1"/>
  <c r="T38" i="2" s="1"/>
  <c r="S38" i="2" a="1"/>
  <c r="S38" i="2" s="1"/>
  <c r="T37" i="2" a="1"/>
  <c r="T37" i="2" s="1"/>
  <c r="S37" i="2" a="1"/>
  <c r="S37" i="2" s="1"/>
  <c r="T36" i="2" a="1"/>
  <c r="T36" i="2" s="1"/>
  <c r="S36" i="2" a="1"/>
  <c r="S36" i="2" s="1"/>
  <c r="T35" i="2" a="1"/>
  <c r="T35" i="2" s="1"/>
  <c r="S35" i="2" a="1"/>
  <c r="S35" i="2" s="1"/>
  <c r="T34" i="2" a="1"/>
  <c r="T34" i="2" s="1"/>
  <c r="S34" i="2" a="1"/>
  <c r="S34" i="2" s="1"/>
  <c r="T33" i="2" a="1"/>
  <c r="T33" i="2" s="1"/>
  <c r="S33" i="2" a="1"/>
  <c r="S33" i="2" s="1"/>
  <c r="T32" i="2" a="1"/>
  <c r="T32" i="2" s="1"/>
  <c r="S32" i="2" a="1"/>
  <c r="S32" i="2" s="1"/>
  <c r="T31" i="2" a="1"/>
  <c r="T31" i="2" s="1"/>
  <c r="S31" i="2" a="1"/>
  <c r="S31" i="2" s="1"/>
  <c r="T30" i="2" a="1"/>
  <c r="T30" i="2" s="1"/>
  <c r="S30" i="2" a="1"/>
  <c r="S30" i="2" s="1"/>
  <c r="T29" i="2" a="1"/>
  <c r="T29" i="2" s="1"/>
  <c r="S29" i="2" a="1"/>
  <c r="S29" i="2" s="1"/>
  <c r="T28" i="2" a="1"/>
  <c r="T28" i="2" s="1"/>
  <c r="S28" i="2" a="1"/>
  <c r="S28" i="2" s="1"/>
  <c r="T27" i="2" a="1"/>
  <c r="T27" i="2" s="1"/>
  <c r="S27" i="2" a="1"/>
  <c r="S27" i="2" s="1"/>
  <c r="T26" i="2" a="1"/>
  <c r="T26" i="2" s="1"/>
  <c r="S26" i="2" a="1"/>
  <c r="S26" i="2" s="1"/>
  <c r="T25" i="2" a="1"/>
  <c r="T25" i="2" s="1"/>
  <c r="S25" i="2" a="1"/>
  <c r="S25" i="2" s="1"/>
  <c r="T24" i="2" a="1"/>
  <c r="T24" i="2" s="1"/>
  <c r="S24" i="2" a="1"/>
  <c r="S24" i="2" s="1"/>
  <c r="T23" i="2" a="1"/>
  <c r="T23" i="2" s="1"/>
  <c r="S23" i="2" a="1"/>
  <c r="S23" i="2" s="1"/>
  <c r="T22" i="2" a="1"/>
  <c r="T22" i="2" s="1"/>
  <c r="S22" i="2" a="1"/>
  <c r="S22" i="2" s="1"/>
  <c r="T21" i="2" a="1"/>
  <c r="T21" i="2" s="1"/>
  <c r="S21" i="2" a="1"/>
  <c r="S21" i="2" s="1"/>
  <c r="T20" i="2" a="1"/>
  <c r="T20" i="2" s="1"/>
  <c r="S20" i="2" a="1"/>
  <c r="S20" i="2" s="1"/>
  <c r="T19" i="2" a="1"/>
  <c r="T19" i="2" s="1"/>
  <c r="S19" i="2" a="1"/>
  <c r="S19" i="2" s="1"/>
  <c r="T18" i="2" a="1"/>
  <c r="T18" i="2" s="1"/>
  <c r="S18" i="2" a="1"/>
  <c r="S18" i="2" s="1"/>
  <c r="T17" i="2" a="1"/>
  <c r="T17" i="2" s="1"/>
  <c r="S17" i="2" a="1"/>
  <c r="S17" i="2" s="1"/>
  <c r="T16" i="2" a="1"/>
  <c r="T16" i="2" s="1"/>
  <c r="S16" i="2" a="1"/>
  <c r="S16" i="2" s="1"/>
  <c r="T15" i="2" a="1"/>
  <c r="T15" i="2" s="1"/>
  <c r="S15" i="2" a="1"/>
  <c r="S15" i="2" s="1"/>
  <c r="T14" i="2" a="1"/>
  <c r="T14" i="2" s="1"/>
  <c r="S14" i="2" a="1"/>
  <c r="S14" i="2" s="1"/>
  <c r="T13" i="2" a="1"/>
  <c r="T13" i="2" s="1"/>
  <c r="S13" i="2" a="1"/>
  <c r="S13" i="2" s="1"/>
  <c r="T12" i="2" a="1"/>
  <c r="T12" i="2" s="1"/>
  <c r="S12" i="2" a="1"/>
  <c r="S12" i="2" s="1"/>
  <c r="T11" i="2" a="1"/>
  <c r="T11" i="2" s="1"/>
  <c r="S11" i="2" a="1"/>
  <c r="S11" i="2" s="1"/>
  <c r="T10" i="2" a="1"/>
  <c r="T10" i="2" s="1"/>
  <c r="S10" i="2" a="1"/>
  <c r="S10" i="2" s="1"/>
  <c r="T9" i="2" a="1"/>
  <c r="T9" i="2" s="1"/>
  <c r="S9" i="2" a="1"/>
  <c r="S9" i="2" s="1"/>
  <c r="T8" i="2" a="1"/>
  <c r="T8" i="2" s="1"/>
  <c r="S8" i="2" a="1"/>
  <c r="S8" i="2" s="1"/>
  <c r="T7" i="2" a="1"/>
  <c r="T7" i="2" s="1"/>
  <c r="S7" i="2" a="1"/>
  <c r="S7" i="2" s="1"/>
  <c r="T6" i="2" a="1"/>
  <c r="T6" i="2" s="1"/>
  <c r="S6" i="2" a="1"/>
  <c r="S6" i="2" s="1"/>
  <c r="T5" i="2" a="1"/>
  <c r="T5" i="2" s="1"/>
  <c r="S5" i="2" a="1"/>
  <c r="S5" i="2" s="1"/>
  <c r="W4" i="2" a="1"/>
  <c r="T4" i="2" a="1"/>
  <c r="T4" i="2" s="1"/>
  <c r="S4" i="2" a="1"/>
  <c r="S4" i="2" s="1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R2" i="2" a="1"/>
  <c r="R2" i="2" s="1"/>
  <c r="Q2" i="2" a="1"/>
  <c r="Q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U3" i="2" s="1"/>
  <c r="K2" i="2" a="1"/>
  <c r="K2" i="2" s="1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 s="1"/>
  <c r="U2" i="2" s="1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Y20" i="2" l="1" a="1"/>
  <c r="Y20" i="2" s="1"/>
  <c r="X20" i="2" a="1"/>
  <c r="X20" i="2" s="1"/>
  <c r="Y19" i="2" a="1"/>
  <c r="Y19" i="2" s="1"/>
  <c r="X19" i="2" a="1"/>
  <c r="X19" i="2" s="1"/>
  <c r="Y18" i="2" a="1"/>
  <c r="Y18" i="2" s="1"/>
  <c r="X18" i="2" a="1"/>
  <c r="X18" i="2" s="1"/>
  <c r="Y17" i="2" a="1"/>
  <c r="Y17" i="2" s="1"/>
  <c r="X17" i="2" a="1"/>
  <c r="X17" i="2" s="1"/>
  <c r="Y16" i="2" a="1"/>
  <c r="Y16" i="2" s="1"/>
  <c r="X16" i="2" a="1"/>
  <c r="X16" i="2" s="1"/>
  <c r="Y15" i="2" a="1"/>
  <c r="Y15" i="2" s="1"/>
  <c r="X15" i="2" a="1"/>
  <c r="X15" i="2" s="1"/>
  <c r="Y14" i="2" a="1"/>
  <c r="Y14" i="2" s="1"/>
  <c r="X14" i="2" a="1"/>
  <c r="X14" i="2" s="1"/>
  <c r="Y13" i="2" a="1"/>
  <c r="Y13" i="2" s="1"/>
  <c r="X13" i="2" a="1"/>
  <c r="X13" i="2" s="1"/>
  <c r="Y12" i="2" a="1"/>
  <c r="Y12" i="2" s="1"/>
  <c r="X12" i="2" a="1"/>
  <c r="X12" i="2" s="1"/>
  <c r="Y11" i="2" a="1"/>
  <c r="Y11" i="2" s="1"/>
  <c r="X11" i="2" a="1"/>
  <c r="X11" i="2" s="1"/>
  <c r="Y10" i="2" a="1"/>
  <c r="Y10" i="2" s="1"/>
  <c r="X10" i="2" a="1"/>
  <c r="X10" i="2" s="1"/>
  <c r="Y9" i="2" a="1"/>
  <c r="Y9" i="2" s="1"/>
  <c r="X9" i="2" a="1"/>
  <c r="X9" i="2" s="1"/>
  <c r="Y8" i="2" a="1"/>
  <c r="Y8" i="2" s="1"/>
  <c r="X8" i="2" a="1"/>
  <c r="X8" i="2" s="1"/>
  <c r="Y7" i="2" a="1"/>
  <c r="Y7" i="2" s="1"/>
  <c r="X7" i="2" a="1"/>
  <c r="X7" i="2" s="1"/>
  <c r="Y6" i="2" a="1"/>
  <c r="Y6" i="2" s="1"/>
  <c r="X6" i="2" a="1"/>
  <c r="X6" i="2" s="1"/>
  <c r="Y5" i="2" a="1"/>
  <c r="Y5" i="2" s="1"/>
  <c r="Y21" i="2" s="1"/>
  <c r="X5" i="2" a="1"/>
  <c r="X5" i="2" s="1"/>
  <c r="W4" i="2"/>
  <c r="X2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<sst xmlns="http://schemas.openxmlformats.org/spreadsheetml/2006/main" count="4043" uniqueCount="282">
  <si>
    <t>Agent Name</t>
  </si>
  <si>
    <t>Team No</t>
  </si>
  <si>
    <t>Team Lead</t>
  </si>
  <si>
    <t>Platform</t>
  </si>
  <si>
    <t>Week 14 Nov</t>
  </si>
  <si>
    <t>Week 21 Nov</t>
  </si>
  <si>
    <t>Jules Langley (DBZ)</t>
  </si>
  <si>
    <t>Emerson Clarke</t>
  </si>
  <si>
    <t>07:00-15:30</t>
  </si>
  <si>
    <t>WO</t>
  </si>
  <si>
    <t>Count of Agent Name</t>
  </si>
  <si>
    <t>Addison Treadwell (DBZ)</t>
  </si>
  <si>
    <t>13:30-22:00</t>
  </si>
  <si>
    <t>Blair Austin</t>
  </si>
  <si>
    <t>Alex Bramley (DBZ)</t>
  </si>
  <si>
    <t>Blake Jackson</t>
  </si>
  <si>
    <t>Andie Snowden (DBZ)</t>
  </si>
  <si>
    <t>Charlie Bennett</t>
  </si>
  <si>
    <t>Blair Pembroke (DBZ)</t>
  </si>
  <si>
    <t>David Cooper</t>
  </si>
  <si>
    <t>Dale Norbury (DBZ)</t>
  </si>
  <si>
    <t>Emery Darrington (DBZ)</t>
  </si>
  <si>
    <t>Frankie Baxter</t>
  </si>
  <si>
    <t>Erin Wycliffe (DBZ)</t>
  </si>
  <si>
    <t>Jamie Spencer</t>
  </si>
  <si>
    <t>Gale Westbrook (DBZ)</t>
  </si>
  <si>
    <t>Morgan Shaw</t>
  </si>
  <si>
    <t>Laurie Blackwell (DBZ)</t>
  </si>
  <si>
    <t>Parker Jones</t>
  </si>
  <si>
    <t>Merle Canning (DBZ)</t>
  </si>
  <si>
    <t>11:30-20:00</t>
  </si>
  <si>
    <t>Riley Foster</t>
  </si>
  <si>
    <t>Morgan Fairfax (DBZ)</t>
  </si>
  <si>
    <t>Robin Clarke</t>
  </si>
  <si>
    <t>Riley Bennett (DBZ)</t>
  </si>
  <si>
    <t>Rory Sanderson</t>
  </si>
  <si>
    <t>Robin Middleton (DBZ)</t>
  </si>
  <si>
    <t>Rowan Carter</t>
  </si>
  <si>
    <t>Sidney Spencer (DBZ)</t>
  </si>
  <si>
    <t>Sam Avery</t>
  </si>
  <si>
    <t>Riley Morton (DBZ)</t>
  </si>
  <si>
    <t>Taylor Morgan</t>
  </si>
  <si>
    <t>Aubin Harcourt (DBZ)</t>
  </si>
  <si>
    <t>Taylor Reed</t>
  </si>
  <si>
    <t>Avery Harrington (DBZ)</t>
  </si>
  <si>
    <t>Grand Total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</si>
  <si>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</si>
  <si>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</si>
  <si>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</si>
  <si>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</si>
  <si>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</si>
  <si>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</si>
  <si>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</si>
  <si>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Rory Fenton (DBZ)</t>
  </si>
  <si>
    <t>Rowan Fletcher (DBZ)</t>
  </si>
  <si>
    <t>Wren Grant (DBZ)</t>
  </si>
  <si>
    <t>Lennox Pratt (DBZ)</t>
  </si>
  <si>
    <t>LEAVE</t>
  </si>
  <si>
    <t>Avery Middleton (DBZ)</t>
  </si>
  <si>
    <t>Beckett Wilson (DBZ)</t>
  </si>
  <si>
    <t>Billie Martin (DBZ)</t>
  </si>
  <si>
    <t>Blake Hensley (DBZ)</t>
  </si>
  <si>
    <t>Charlie Harris (DBZ)</t>
  </si>
  <si>
    <t>Devon Radcliffe (DBZ)</t>
  </si>
  <si>
    <t>Erin Norcross (DBZ)</t>
  </si>
  <si>
    <t>Hayden Cartwright (DBZ)</t>
  </si>
  <si>
    <t>Laurie Thistleton (DBZ)</t>
  </si>
  <si>
    <t>Max Wilson (DBZ)</t>
  </si>
  <si>
    <t>Rory Walker (DBZ)</t>
  </si>
  <si>
    <t>Rowan Pritchard (DBZ)</t>
  </si>
  <si>
    <t>Sage Pritchard (DBZ)</t>
  </si>
  <si>
    <t>Finley Marsh (DBZ)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</si>
  <si>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</si>
  <si>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</si>
  <si>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</si>
  <si>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</si>
  <si>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</si>
  <si>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</si>
  <si>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</si>
  <si>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</si>
  <si>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</si>
  <si>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</si>
  <si>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</si>
  <si>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Leslie Jeffries (DBZ)</t>
  </si>
  <si>
    <t>08:00-16:30</t>
  </si>
  <si>
    <t>Marley Abbott (DBZ)</t>
  </si>
  <si>
    <t>Reese Lambert (DBZ)</t>
  </si>
  <si>
    <t>Charlie Penhaligon (DBZ)</t>
  </si>
  <si>
    <t>Joss Merriton (DBZ)</t>
  </si>
  <si>
    <t>Theo Ravenscroft (DBZ)</t>
  </si>
  <si>
    <t>Darby Gearing (DBZ)</t>
  </si>
  <si>
    <t>Frankie Whitman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</si>
  <si>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</si>
  <si>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</si>
  <si>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</si>
  <si>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</si>
  <si>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</si>
  <si>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</si>
  <si>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</si>
  <si>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</si>
  <si>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</si>
  <si>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</si>
  <si>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</si>
  <si>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</si>
  <si>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</si>
  <si>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</si>
  <si>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</si>
  <si>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</si>
  <si>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</si>
  <si>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</si>
  <si>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</si>
  <si>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</si>
  <si>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</si>
  <si>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</si>
  <si>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</si>
  <si>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</si>
  <si>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</si>
  <si>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Adrian Vernon (DBZ)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</si>
  <si>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</si>
  <si>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</si>
  <si>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</si>
  <si>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</si>
  <si>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</si>
  <si>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</si>
  <si>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</si>
  <si>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Bentley Fenton (DBZ)</t>
  </si>
  <si>
    <t>Robin Haversham (DBZ)</t>
  </si>
  <si>
    <t>Casey Aldenbrook (DBZ)</t>
  </si>
  <si>
    <t>Ember Lewis (DBZ)</t>
  </si>
  <si>
    <t>Fletcher Loxley (DBZ)</t>
  </si>
  <si>
    <t>Leave</t>
  </si>
  <si>
    <t>Alexis Kidd (DBZ)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</si>
  <si>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</si>
  <si>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</si>
  <si>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</si>
  <si>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</si>
  <si>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</si>
  <si>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</si>
  <si>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</si>
  <si>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</si>
  <si>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</si>
  <si>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</si>
  <si>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Harlow Miller (DBZ)</t>
  </si>
  <si>
    <t>Monroe Lancaster (DBZ)</t>
  </si>
  <si>
    <t>Carson Gardener (DBZ)</t>
  </si>
  <si>
    <t>Clayton Jeffries (DBZ)</t>
  </si>
  <si>
    <t>Arbor Webb (DBZ)</t>
  </si>
  <si>
    <t>Arden Scott (DBZ)</t>
  </si>
  <si>
    <t>Sloane Whittaker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</si>
  <si>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</si>
  <si>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</si>
  <si>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</si>
  <si>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</si>
  <si>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</si>
  <si>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</si>
  <si>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</si>
  <si>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</si>
  <si>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</si>
  <si>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</si>
  <si>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</si>
  <si>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Clark Noel (DBZ)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</si>
  <si>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</si>
  <si>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</si>
  <si>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</si>
  <si>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</si>
  <si>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</si>
  <si>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</si>
  <si>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</si>
  <si>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</si>
  <si>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</si>
  <si>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</si>
  <si>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Finley Crossmoor (DBZ)</t>
  </si>
  <si>
    <t>Quinn Bellamy (DBZ)</t>
  </si>
  <si>
    <t>Reese Alderney (DBZ)</t>
  </si>
  <si>
    <t>Arden Montague (DBZ)</t>
  </si>
  <si>
    <t>Emerys Talbot (DBZ)</t>
  </si>
  <si>
    <t>Ellis Harding (DBZ)</t>
  </si>
  <si>
    <t>Marley Whitcombe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</si>
  <si>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</si>
  <si>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</si>
  <si>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</si>
  <si>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</si>
  <si>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</si>
  <si>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</si>
  <si>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</si>
  <si>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</si>
  <si>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</si>
  <si>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</si>
  <si>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</si>
  <si>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</si>
  <si>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Palmer Clarke (DBZ)</t>
  </si>
  <si>
    <t>Sasha Green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</si>
  <si>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</si>
  <si>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</si>
  <si>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</si>
  <si>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</si>
  <si>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</si>
  <si>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</si>
  <si>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</si>
  <si>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</si>
  <si>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</si>
  <si>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</si>
  <si>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</si>
  <si>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Bailey Whitmore (DBZ)</t>
  </si>
  <si>
    <t>Ashley Brindley (DBZ)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</si>
  <si>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</si>
  <si>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</si>
  <si>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</si>
  <si>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</si>
  <si>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</si>
  <si>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</si>
  <si>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</si>
  <si>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</si>
  <si>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Jules Beaumont (DBZ)</t>
  </si>
  <si>
    <t>Lennox Clarke (DBZ)</t>
  </si>
  <si>
    <t>Sammy Pritchard (DBZ)</t>
  </si>
  <si>
    <t>Nico Ashford (DBZ)</t>
  </si>
  <si>
    <t>Oakley Montague (DBZ)</t>
  </si>
  <si>
    <t>Gray Cartwright (DBZ)</t>
  </si>
  <si>
    <t>Ellis Beaumont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</si>
  <si>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</si>
  <si>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</si>
  <si>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</si>
  <si>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</si>
  <si>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</si>
  <si>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</si>
  <si>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</si>
  <si>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</si>
  <si>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</si>
  <si>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</si>
  <si>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</si>
  <si>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</si>
  <si>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Harper Whitmore (DBZ)</t>
  </si>
  <si>
    <t>Arden Pritchard (DBZ)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</si>
  <si>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</si>
  <si>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</si>
  <si>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</si>
  <si>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</si>
  <si>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</si>
  <si>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 (DBZ)</t>
  </si>
  <si>
    <t>Nico Spencer (DBZ)</t>
  </si>
  <si>
    <t>Oliver Ashcombe (DBZ)</t>
  </si>
  <si>
    <t>Sage Redgrave (DBZ)</t>
  </si>
  <si>
    <t>Blaine Whitmore (DBZ)</t>
  </si>
  <si>
    <t>Marley Pritchard (DBZ)</t>
  </si>
  <si>
    <t>Vivian Burford (DBZ)</t>
  </si>
  <si>
    <t>Ali Underwood (DBZ)</t>
  </si>
  <si>
    <t>Bev Stanhope (DBZ)</t>
  </si>
  <si>
    <t>Bobbie Vickers (DBZ)</t>
  </si>
  <si>
    <t>Ceri Arkwright (DBZ)</t>
  </si>
  <si>
    <t>Dana Nethercott (DBZ)</t>
  </si>
  <si>
    <t>Dani Newby (DBZ)</t>
  </si>
  <si>
    <t>Daryl Loxham (DBZ)</t>
  </si>
  <si>
    <t>Evelyn Yarrow (DBZ)</t>
  </si>
  <si>
    <t>Georgie Malleson (DBZ)</t>
  </si>
  <si>
    <t>Gerry Cotswold (DBZ)</t>
  </si>
  <si>
    <t>Jackie Lightfoot (DBZ)</t>
  </si>
  <si>
    <t>Jan Davenant (DBZ)</t>
  </si>
  <si>
    <t>Jean Ellesmere (DBZ)</t>
  </si>
  <si>
    <t>Jo Chivers (DBZ)</t>
  </si>
  <si>
    <t>Kay Pickering (DBZ)</t>
  </si>
  <si>
    <t>Kelly Frobisher (DBZ)</t>
  </si>
  <si>
    <t>Kim Golding (DBZ)</t>
  </si>
  <si>
    <t>Leigh Oughton (DBZ)</t>
  </si>
  <si>
    <t>Loren Peverell (DBZ)</t>
  </si>
  <si>
    <t>Lou Thacker (DBZ)</t>
  </si>
  <si>
    <t>Lynn Quenby (DBZ)</t>
  </si>
  <si>
    <t>Marion Gillingham (DBZ)</t>
  </si>
  <si>
    <t>Mel Hargreaves (DBZ)</t>
  </si>
  <si>
    <t>Nicky Dinsmore (DBZ)</t>
  </si>
  <si>
    <t>Pat Ibbotson (DBZ)</t>
  </si>
  <si>
    <t>Pip Kershaw (DBZ)</t>
  </si>
  <si>
    <t>Rae Quaife (DBZ)</t>
  </si>
  <si>
    <t>Rene Hepworth (DBZ)</t>
  </si>
  <si>
    <t>Ronnie Renshaw (DBZ)</t>
  </si>
  <si>
    <t>Shelley Ingleby (DBZ)</t>
  </si>
  <si>
    <t>Stacey Jarvis (DBZ)</t>
  </si>
  <si>
    <t>Terry Fairbrother (DBZ)</t>
  </si>
  <si>
    <t>Toni Jowett (DBZ)</t>
  </si>
  <si>
    <t>Tracy Kingsley (DBZ)</t>
  </si>
  <si>
    <t>Val Elphick (DBZ)</t>
  </si>
  <si>
    <t>Vic Sowerby (DBZ)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</si>
</sst>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6" fontId="2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46" fontId="2" fillId="0" borderId="4" xfId="0" applyNumberFormat="1" applyFon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46" fontId="2" fillId="0" borderId="5" xfId="0" applyNumberFormat="1" applyFont="1" applyBorder="1" applyAlignment="1">
      <alignment horizontal="center"/>
    </xf>
    <xf numFmtId="46" fontId="2" fillId="0" borderId="6" xfId="0" applyNumberFormat="1" applyFont="1" applyBorder="1" applyAlignment="1">
      <alignment horizontal="center"/>
    </xf>
    <xf numFmtId="46" fontId="2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CFD2-F577-4C4F-B849-FCAF4C937C91}">
  <dimension ref="A1:AE254"/>
  <sheetViews>
    <sheetView tabSelected="1" workbookViewId="0">
      <pane ySplit="3" topLeftCell="A4" activePane="bottomLeft" state="frozen"/>
      <selection pane="bottomLeft" activeCell="C14" sqref="C14"/>
    </sheetView>
  </sheetViews>
  <sheetFormatPr defaultRowHeight="15"/>
  <cols>
    <col min="1" max="1" width="24.42578125" bestFit="1" customWidth="1"/>
    <col min="2" max="2" width="9.140625" bestFit="1" customWidth="1"/>
    <col min="3" max="3" width="22.5703125" style="1" customWidth="1"/>
    <col min="4" max="4" width="11.28515625" bestFit="1" customWidth="1"/>
    <col min="5" max="18" width="13.7109375" style="1" customWidth="1"/>
    <col min="19" max="19" width="14.85546875" style="1" customWidth="1"/>
    <col min="20" max="20" width="14.85546875" customWidth="1"/>
    <col min="21" max="21" width="12.140625" bestFit="1" customWidth="1"/>
    <col min="22" max="22" width="9.140625" bestFit="1" customWidth="1"/>
    <col min="23" max="23" width="17.85546875" customWidth="1"/>
    <col min="24" max="24" width="16.140625" customWidth="1"/>
    <col min="25" max="25" width="14" customWidth="1"/>
    <col min="30" max="30" width="15" customWidth="1"/>
    <col min="31" max="31" width="20.5703125" style="1" bestFit="1" customWidth="1"/>
  </cols>
  <sheetData>
    <row r="1" spans="1:31">
      <c r="E1" s="2" t="str">
        <f>TEXT(E3,"DDDD")</f>
        <v>Monday</v>
      </c>
      <c r="F1" s="2" t="str">
        <f>TEXT(F3,"DDDD")</f>
        <v>Tuesday</v>
      </c>
      <c r="G1" s="2" t="str">
        <f>TEXT(G3,"DDDD")</f>
        <v>Wednesday</v>
      </c>
      <c r="H1" s="2" t="str">
        <f>TEXT(H3,"DDDD")</f>
        <v>Thursday</v>
      </c>
      <c r="I1" s="2" t="str">
        <f>TEXT(I3,"DDDD")</f>
        <v>Friday</v>
      </c>
      <c r="J1" s="2" t="str">
        <f>TEXT(J3,"DDDD")</f>
        <v>Saturday</v>
      </c>
      <c r="K1" s="2" t="str">
        <f>TEXT(K3,"DDDD")</f>
        <v>Sunday</v>
      </c>
      <c r="L1" s="2" t="str">
        <f>TEXT(L3,"DDDD")</f>
        <v>Monday</v>
      </c>
      <c r="M1" s="2" t="str">
        <f>TEXT(M3,"DDDD")</f>
        <v>Tuesday</v>
      </c>
      <c r="N1" s="2" t="str">
        <f>TEXT(N3,"DDDD")</f>
        <v>Wednesday</v>
      </c>
      <c r="O1" s="2" t="str">
        <f>TEXT(O3,"DDDD")</f>
        <v>Thursday</v>
      </c>
      <c r="P1" s="2" t="str">
        <f>TEXT(P3,"DDDD")</f>
        <v>Friday</v>
      </c>
      <c r="Q1" s="2" t="str">
        <f>TEXT(Q3,"DDDD")</f>
        <v>Saturday</v>
      </c>
      <c r="R1" s="2" t="str">
        <f>TEXT(R3,"DDDD")</f>
        <v>Sunday</v>
      </c>
    </row>
    <row r="2" spans="1:31">
      <c r="E2" s="3" cm="1">
        <f t="array" ref="E2">SUMPRODUCT(IFERROR(TIMEVALUE(RIGHT(E4:E260,5))-TIMEVALUE(LEFT(E4:E260,5)),0))</f>
        <v>71.187499999999929</v>
      </c>
      <c r="F2" s="3" cm="1">
        <f t="array" ref="F2">SUMPRODUCT(IFERROR(TIMEVALUE(RIGHT(F4:F260,5))-TIMEVALUE(LEFT(F4:F260,5)),0))</f>
        <v>72.958333333333286</v>
      </c>
      <c r="G2" s="3" cm="1">
        <f t="array" ref="G2">SUMPRODUCT(IFERROR(TIMEVALUE(RIGHT(G4:G260,5))-TIMEVALUE(LEFT(G4:G260,5)),0))</f>
        <v>69.770833333333243</v>
      </c>
      <c r="H2" s="3" cm="1">
        <f t="array" ref="H2">SUMPRODUCT(IFERROR(TIMEVALUE(RIGHT(H4:H260,5))-TIMEVALUE(LEFT(H4:H260,5)),0))</f>
        <v>75.791666666666657</v>
      </c>
      <c r="I2" s="3" cm="1">
        <f t="array" ref="I2">SUMPRODUCT(IFERROR(TIMEVALUE(RIGHT(I4:I260,5))-TIMEVALUE(LEFT(I4:I260,5)),0))</f>
        <v>70.479166666666586</v>
      </c>
      <c r="J2" s="3" cm="1">
        <f t="array" ref="J2">SUMPRODUCT(IFERROR(TIMEVALUE(RIGHT(J4:J260,5))-TIMEVALUE(LEFT(J4:J260,5)),0))</f>
        <v>42.145833333333307</v>
      </c>
      <c r="K2" s="3" cm="1">
        <f t="array" ref="K2">SUMPRODUCT(IFERROR(TIMEVALUE(RIGHT(K4:K260,5))-TIMEVALUE(LEFT(K4:K260,5)),0))</f>
        <v>38.604166666666664</v>
      </c>
      <c r="L2" s="3" cm="1">
        <f t="array" ref="L2">SUMPRODUCT(IFERROR(TIMEVALUE(RIGHT(L4:L260,5))-TIMEVALUE(LEFT(L4:L260,5)),0))</f>
        <v>71.187499999999929</v>
      </c>
      <c r="M2" s="3" cm="1">
        <f t="array" ref="M2">SUMPRODUCT(IFERROR(TIMEVALUE(RIGHT(M4:M260,5))-TIMEVALUE(LEFT(M4:M260,5)),0))</f>
        <v>73.666666666666629</v>
      </c>
      <c r="N2" s="3" cm="1">
        <f t="array" ref="N2">SUMPRODUCT(IFERROR(TIMEVALUE(RIGHT(N4:N260,5))-TIMEVALUE(LEFT(N4:N260,5)),0))</f>
        <v>69.416666666666572</v>
      </c>
      <c r="O2" s="3" cm="1">
        <f t="array" ref="O2">SUMPRODUCT(IFERROR(TIMEVALUE(RIGHT(O4:O260,5))-TIMEVALUE(LEFT(O4:O260,5)),0))</f>
        <v>75.083333333333314</v>
      </c>
      <c r="P2" s="3" cm="1">
        <f t="array" ref="P2">SUMPRODUCT(IFERROR(TIMEVALUE(RIGHT(P4:P260,5))-TIMEVALUE(LEFT(P4:P260,5)),0))</f>
        <v>70.833333333333258</v>
      </c>
      <c r="Q2" s="3" cm="1">
        <f t="array" ref="Q2">SUMPRODUCT(IFERROR(TIMEVALUE(RIGHT(Q4:Q260,5))-TIMEVALUE(LEFT(Q4:Q260,5)),0))</f>
        <v>42.145833333333307</v>
      </c>
      <c r="R2" s="3" cm="1">
        <f t="array" ref="R2">SUMPRODUCT(IFERROR(TIMEVALUE(RIGHT(R4:R260,5))-TIMEVALUE(LEFT(R4:R260,5)),0))</f>
        <v>38.604166666666664</v>
      </c>
      <c r="U2" s="3">
        <f>SUM(E2:K2)</f>
        <v>440.93749999999972</v>
      </c>
    </row>
    <row r="3" spans="1:31" s="9" customFormat="1">
      <c r="A3" s="4" t="s">
        <v>0</v>
      </c>
      <c r="B3" s="4" t="s">
        <v>1</v>
      </c>
      <c r="C3" s="5" t="s">
        <v>2</v>
      </c>
      <c r="D3" s="4" t="s">
        <v>3</v>
      </c>
      <c r="E3" s="6">
        <v>46279</v>
      </c>
      <c r="F3" s="6">
        <f>E3+1</f>
        <v>46280</v>
      </c>
      <c r="G3" s="6">
        <f>F3+1</f>
        <v>46281</v>
      </c>
      <c r="H3" s="6">
        <f>G3+1</f>
        <v>46282</v>
      </c>
      <c r="I3" s="6">
        <f>H3+1</f>
        <v>46283</v>
      </c>
      <c r="J3" s="6">
        <f>I3+1</f>
        <v>46284</v>
      </c>
      <c r="K3" s="6">
        <f>J3+1</f>
        <v>46285</v>
      </c>
      <c r="L3" s="6">
        <f>K3+1</f>
        <v>46286</v>
      </c>
      <c r="M3" s="6">
        <f>L3+1</f>
        <v>46287</v>
      </c>
      <c r="N3" s="6">
        <f>M3+1</f>
        <v>46288</v>
      </c>
      <c r="O3" s="6">
        <f>N3+1</f>
        <v>46289</v>
      </c>
      <c r="P3" s="6">
        <f>O3+1</f>
        <v>46290</v>
      </c>
      <c r="Q3" s="6">
        <f>P3+1</f>
        <v>46291</v>
      </c>
      <c r="R3" s="7">
        <f>Q3+1</f>
        <v>46292</v>
      </c>
      <c r="S3" s="5" t="s">
        <v>4</v>
      </c>
      <c r="T3" s="5" t="s">
        <v>5</v>
      </c>
      <c r="U3" s="8">
        <f>SUM(L2:R2)</f>
        <v>440.93749999999972</v>
      </c>
      <c r="AE3" s="2"/>
    </row>
    <row r="4" spans="1:31">
      <c r="A4" s="10" t="s">
        <v>6</v>
      </c>
      <c r="B4" s="10">
        <v>1</v>
      </c>
      <c r="C4" s="11" t="s">
        <v>7</v>
      </c>
      <c r="D4" s="10"/>
      <c r="E4" s="11" t="s">
        <v>8</v>
      </c>
      <c r="F4" s="11" t="s">
        <v>8</v>
      </c>
      <c r="G4" s="11" t="s">
        <v>8</v>
      </c>
      <c r="H4" s="11" t="s">
        <v>8</v>
      </c>
      <c r="I4" s="11" t="s">
        <v>8</v>
      </c>
      <c r="J4" s="11" t="s">
        <v>9</v>
      </c>
      <c r="K4" s="11" t="s">
        <v>9</v>
      </c>
      <c r="L4" s="11" t="s">
        <v>8</v>
      </c>
      <c r="M4" s="11" t="s">
        <v>8</v>
      </c>
      <c r="N4" s="11" t="s">
        <v>8</v>
      </c>
      <c r="O4" s="11" t="s">
        <v>8</v>
      </c>
      <c r="P4" s="11" t="s">
        <v>8</v>
      </c>
      <c r="Q4" s="11" t="s">
        <v>9</v>
      </c>
      <c r="R4" s="11" t="s">
        <v>9</v>
      </c>
      <c r="S4" s="12" cm="1">
        <f t="array" ref="S4">SUMPRODUCT(IFERROR(TIMEVALUE(RIGHT(E4:K4,5))-TIMEVALUE(LEFT(E4:K4,5)),0))</f>
        <v>1.7708333333333335</v>
      </c>
      <c r="T4" s="13" cm="1">
        <f t="array" ref="T4">SUMPRODUCT(IFERROR(TIMEVALUE(RIGHT(L4:R4,5))-TIMEVALUE(LEFT(L4:R4,5)),0))</f>
        <v>1.7708333333333335</v>
      </c>
      <c r="W4" s="4" t="str" cm="1">
        <f t="array" ref="W4:W20">_xlfn.UNIQUE(C3:C244)</f>
        <v>Team Lead</v>
      </c>
      <c r="X4" s="5" t="s">
        <v>4</v>
      </c>
      <c r="Y4" s="5" t="s">
        <v>5</v>
      </c>
      <c r="AD4" t="s">
        <v>2</v>
      </c>
      <c r="AE4" s="1" t="s">
        <v>10</v>
      </c>
    </row>
    <row r="5" spans="1:31">
      <c r="A5" s="10" t="s">
        <v>11</v>
      </c>
      <c r="B5" s="10">
        <v>1</v>
      </c>
      <c r="C5" s="11" t="s">
        <v>7</v>
      </c>
      <c r="D5" s="10"/>
      <c r="E5" s="11" t="s">
        <v>12</v>
      </c>
      <c r="F5" s="11" t="s">
        <v>12</v>
      </c>
      <c r="G5" s="11" t="s">
        <v>12</v>
      </c>
      <c r="H5" s="11" t="s">
        <v>12</v>
      </c>
      <c r="I5" s="11" t="s">
        <v>9</v>
      </c>
      <c r="J5" s="11" t="s">
        <v>9</v>
      </c>
      <c r="K5" s="11" t="s">
        <v>12</v>
      </c>
      <c r="L5" s="11" t="s">
        <v>12</v>
      </c>
      <c r="M5" s="11" t="s">
        <v>12</v>
      </c>
      <c r="N5" s="11" t="s">
        <v>12</v>
      </c>
      <c r="O5" s="11" t="s">
        <v>12</v>
      </c>
      <c r="P5" s="11" t="s">
        <v>9</v>
      </c>
      <c r="Q5" s="11" t="s">
        <v>9</v>
      </c>
      <c r="R5" s="11" t="s">
        <v>12</v>
      </c>
      <c r="S5" s="8" cm="1">
        <f t="array" ref="S5">SUMPRODUCT(IFERROR(TIMEVALUE(RIGHT(E5:K5,5))-TIMEVALUE(LEFT(E5:K5,5)),0))</f>
        <v>1.770833333333333</v>
      </c>
      <c r="T5" s="3" cm="1">
        <f t="array" ref="T5">SUMPRODUCT(IFERROR(TIMEVALUE(RIGHT(L5:R5,5))-TIMEVALUE(LEFT(L5:R5,5)),0))</f>
        <v>1.770833333333333</v>
      </c>
      <c r="W5" s="10" t="str">
        <v>Emerson Clarke</v>
      </c>
      <c r="X5" s="14" cm="1">
        <f t="array" ref="X5">SUMPRODUCT(($C$3:$C$998=$W5)*MMULT(IFERROR(TIMEVALUE(RIGHT($E$3:$K$998,5))-TIMEVALUE(LEFT($E$3:$K$998,5)),0),TRANSPOSE(COLUMN($E$2:$K$2)^0)))</f>
        <v>26.562499999999989</v>
      </c>
      <c r="Y5" s="14" cm="1">
        <f t="array" ref="Y5">SUMPRODUCT(($C$3:$C$998=$W5)*MMULT(IFERROR(TIMEVALUE(RIGHT($L$3:$R$998,5))-TIMEVALUE(LEFT($L$3:$R$998,5)),0),TRANSPOSE(COLUMN($L$2:$R$2)^0)))</f>
        <v>26.562499999999989</v>
      </c>
      <c r="AD5" t="s">
        <v>13</v>
      </c>
      <c r="AE5" s="1">
        <v>15</v>
      </c>
    </row>
    <row r="6" spans="1:31">
      <c r="A6" s="10" t="s">
        <v>14</v>
      </c>
      <c r="B6" s="10">
        <v>1</v>
      </c>
      <c r="C6" s="11" t="s">
        <v>7</v>
      </c>
      <c r="D6" s="10"/>
      <c r="E6" s="11" t="s">
        <v>12</v>
      </c>
      <c r="F6" s="11" t="s">
        <v>12</v>
      </c>
      <c r="G6" s="11" t="s">
        <v>12</v>
      </c>
      <c r="H6" s="11" t="s">
        <v>12</v>
      </c>
      <c r="I6" s="11" t="s">
        <v>12</v>
      </c>
      <c r="J6" s="11" t="s">
        <v>9</v>
      </c>
      <c r="K6" s="11" t="s">
        <v>9</v>
      </c>
      <c r="L6" s="11" t="s">
        <v>12</v>
      </c>
      <c r="M6" s="11" t="s">
        <v>12</v>
      </c>
      <c r="N6" s="11" t="s">
        <v>12</v>
      </c>
      <c r="O6" s="11" t="s">
        <v>12</v>
      </c>
      <c r="P6" s="11" t="s">
        <v>12</v>
      </c>
      <c r="Q6" s="11" t="s">
        <v>9</v>
      </c>
      <c r="R6" s="11" t="s">
        <v>9</v>
      </c>
      <c r="S6" s="8" cm="1">
        <f t="array" ref="S6">SUMPRODUCT(IFERROR(TIMEVALUE(RIGHT(E6:K6,5))-TIMEVALUE(LEFT(E6:K6,5)),0))</f>
        <v>1.770833333333333</v>
      </c>
      <c r="T6" s="3" cm="1">
        <f t="array" ref="T6">SUMPRODUCT(IFERROR(TIMEVALUE(RIGHT(L6:R6,5))-TIMEVALUE(LEFT(L6:R6,5)),0))</f>
        <v>1.770833333333333</v>
      </c>
      <c r="W6" s="10" t="str">
        <v>Taylor Morgan</v>
      </c>
      <c r="X6" s="14" cm="1">
        <f t="array" ref="X6">SUMPRODUCT(($C$3:$C$998=$W6)*MMULT(IFERROR(TIMEVALUE(RIGHT($E$3:$K$998,5))-TIMEVALUE(LEFT($E$3:$K$998,5)),0),TRANSPOSE(COLUMN($E$2:$K$2)^0)))</f>
        <v>23.020833333333332</v>
      </c>
      <c r="Y6" s="14" cm="1">
        <f t="array" ref="Y6">SUMPRODUCT(($C$3:$C$998=$W6)*MMULT(IFERROR(TIMEVALUE(RIGHT($L$3:$R$998,5))-TIMEVALUE(LEFT($L$3:$R$998,5)),0),TRANSPOSE(COLUMN($L$2:$R$2)^0)))</f>
        <v>23.020833333333332</v>
      </c>
      <c r="AD6" t="s">
        <v>15</v>
      </c>
      <c r="AE6" s="1">
        <v>36</v>
      </c>
    </row>
    <row r="7" spans="1:31">
      <c r="A7" s="10" t="s">
        <v>16</v>
      </c>
      <c r="B7" s="10">
        <v>1</v>
      </c>
      <c r="C7" s="11" t="s">
        <v>7</v>
      </c>
      <c r="D7" s="10"/>
      <c r="E7" s="11" t="s">
        <v>12</v>
      </c>
      <c r="F7" s="11" t="s">
        <v>12</v>
      </c>
      <c r="G7" s="11" t="s">
        <v>9</v>
      </c>
      <c r="H7" s="11" t="s">
        <v>9</v>
      </c>
      <c r="I7" s="11" t="s">
        <v>12</v>
      </c>
      <c r="J7" s="11" t="s">
        <v>12</v>
      </c>
      <c r="K7" s="11" t="s">
        <v>12</v>
      </c>
      <c r="L7" s="11" t="s">
        <v>12</v>
      </c>
      <c r="M7" s="11" t="s">
        <v>12</v>
      </c>
      <c r="N7" s="11" t="s">
        <v>9</v>
      </c>
      <c r="O7" s="11" t="s">
        <v>9</v>
      </c>
      <c r="P7" s="11" t="s">
        <v>12</v>
      </c>
      <c r="Q7" s="11" t="s">
        <v>12</v>
      </c>
      <c r="R7" s="11" t="s">
        <v>12</v>
      </c>
      <c r="S7" s="8" cm="1">
        <f t="array" ref="S7">SUMPRODUCT(IFERROR(TIMEVALUE(RIGHT(E7:K7,5))-TIMEVALUE(LEFT(E7:K7,5)),0))</f>
        <v>1.770833333333333</v>
      </c>
      <c r="T7" s="3" cm="1">
        <f t="array" ref="T7">SUMPRODUCT(IFERROR(TIMEVALUE(RIGHT(L7:R7,5))-TIMEVALUE(LEFT(L7:R7,5)),0))</f>
        <v>1.770833333333333</v>
      </c>
      <c r="W7" s="10" t="str">
        <v>Jamie Spencer</v>
      </c>
      <c r="X7" s="14" cm="1">
        <f t="array" ref="X7">SUMPRODUCT(($C$3:$C$998=$W7)*MMULT(IFERROR(TIMEVALUE(RIGHT($E$3:$K$998,5))-TIMEVALUE(LEFT($E$3:$K$998,5)),0),TRANSPOSE(COLUMN($E$2:$K$2)^0)))</f>
        <v>24.791666666666664</v>
      </c>
      <c r="Y7" s="14" cm="1">
        <f t="array" ref="Y7">SUMPRODUCT(($C$3:$C$998=$W7)*MMULT(IFERROR(TIMEVALUE(RIGHT($L$3:$R$998,5))-TIMEVALUE(LEFT($L$3:$R$998,5)),0),TRANSPOSE(COLUMN($L$2:$R$2)^0)))</f>
        <v>23.729166666666664</v>
      </c>
      <c r="AD7" t="s">
        <v>17</v>
      </c>
      <c r="AE7" s="1">
        <v>15</v>
      </c>
    </row>
    <row r="8" spans="1:31">
      <c r="A8" s="10" t="s">
        <v>18</v>
      </c>
      <c r="B8" s="10">
        <v>1</v>
      </c>
      <c r="C8" s="11" t="s">
        <v>7</v>
      </c>
      <c r="D8" s="10"/>
      <c r="E8" s="11" t="s">
        <v>12</v>
      </c>
      <c r="F8" s="11" t="s">
        <v>12</v>
      </c>
      <c r="G8" s="11" t="s">
        <v>9</v>
      </c>
      <c r="H8" s="11" t="s">
        <v>9</v>
      </c>
      <c r="I8" s="11" t="s">
        <v>12</v>
      </c>
      <c r="J8" s="11" t="s">
        <v>12</v>
      </c>
      <c r="K8" s="11" t="s">
        <v>12</v>
      </c>
      <c r="L8" s="11" t="s">
        <v>12</v>
      </c>
      <c r="M8" s="11" t="s">
        <v>12</v>
      </c>
      <c r="N8" s="11" t="s">
        <v>9</v>
      </c>
      <c r="O8" s="11" t="s">
        <v>9</v>
      </c>
      <c r="P8" s="11" t="s">
        <v>12</v>
      </c>
      <c r="Q8" s="11" t="s">
        <v>12</v>
      </c>
      <c r="R8" s="11" t="s">
        <v>12</v>
      </c>
      <c r="S8" s="8" cm="1">
        <f t="array" ref="S8">SUMPRODUCT(IFERROR(TIMEVALUE(RIGHT(E8:K8,5))-TIMEVALUE(LEFT(E8:K8,5)),0))</f>
        <v>1.770833333333333</v>
      </c>
      <c r="T8" s="3" cm="1">
        <f t="array" ref="T8">SUMPRODUCT(IFERROR(TIMEVALUE(RIGHT(L8:R8,5))-TIMEVALUE(LEFT(L8:R8,5)),0))</f>
        <v>1.770833333333333</v>
      </c>
      <c r="W8" s="10" t="str">
        <v>Taylor Reed</v>
      </c>
      <c r="X8" s="14" cm="1">
        <f t="array" ref="X8">SUMPRODUCT(($C$3:$C$998=$W8)*MMULT(IFERROR(TIMEVALUE(RIGHT($E$3:$K$998,5))-TIMEVALUE(LEFT($E$3:$K$998,5)),0),TRANSPOSE(COLUMN($E$2:$K$2)^0)))</f>
        <v>26.562499999999996</v>
      </c>
      <c r="Y8" s="14" cm="1">
        <f t="array" ref="Y8">SUMPRODUCT(($C$3:$C$998=$W8)*MMULT(IFERROR(TIMEVALUE(RIGHT($L$3:$R$998,5))-TIMEVALUE(LEFT($L$3:$R$998,5)),0),TRANSPOSE(COLUMN($L$2:$R$2)^0)))</f>
        <v>26.562499999999996</v>
      </c>
      <c r="AD8" t="s">
        <v>19</v>
      </c>
      <c r="AE8" s="1">
        <v>14</v>
      </c>
    </row>
    <row r="9" spans="1:31">
      <c r="A9" s="10" t="s">
        <v>20</v>
      </c>
      <c r="B9" s="10">
        <v>1</v>
      </c>
      <c r="C9" s="11" t="s">
        <v>7</v>
      </c>
      <c r="D9" s="10"/>
      <c r="E9" s="11" t="s">
        <v>12</v>
      </c>
      <c r="F9" s="11" t="s">
        <v>12</v>
      </c>
      <c r="G9" s="11" t="s">
        <v>12</v>
      </c>
      <c r="H9" s="11" t="s">
        <v>9</v>
      </c>
      <c r="I9" s="11" t="s">
        <v>9</v>
      </c>
      <c r="J9" s="11" t="s">
        <v>12</v>
      </c>
      <c r="K9" s="11" t="s">
        <v>12</v>
      </c>
      <c r="L9" s="11" t="s">
        <v>12</v>
      </c>
      <c r="M9" s="11" t="s">
        <v>12</v>
      </c>
      <c r="N9" s="11" t="s">
        <v>12</v>
      </c>
      <c r="O9" s="11" t="s">
        <v>9</v>
      </c>
      <c r="P9" s="11" t="s">
        <v>9</v>
      </c>
      <c r="Q9" s="11" t="s">
        <v>12</v>
      </c>
      <c r="R9" s="11" t="s">
        <v>12</v>
      </c>
      <c r="S9" s="8" cm="1">
        <f t="array" ref="S9">SUMPRODUCT(IFERROR(TIMEVALUE(RIGHT(E9:K9,5))-TIMEVALUE(LEFT(E9:K9,5)),0))</f>
        <v>1.770833333333333</v>
      </c>
      <c r="T9" s="3" cm="1">
        <f t="array" ref="T9">SUMPRODUCT(IFERROR(TIMEVALUE(RIGHT(L9:R9,5))-TIMEVALUE(LEFT(L9:R9,5)),0))</f>
        <v>1.770833333333333</v>
      </c>
      <c r="W9" s="10" t="str">
        <v>Riley Foster</v>
      </c>
      <c r="X9" s="14" cm="1">
        <f t="array" ref="X9">SUMPRODUCT(($C$3:$C$998=$W9)*MMULT(IFERROR(TIMEVALUE(RIGHT($E$3:$K$998,5))-TIMEVALUE(LEFT($E$3:$K$998,5)),0),TRANSPOSE(COLUMN($E$2:$K$2)^0)))</f>
        <v>25.145833333333325</v>
      </c>
      <c r="Y9" s="14" cm="1">
        <f t="array" ref="Y9">SUMPRODUCT(($C$3:$C$998=$W9)*MMULT(IFERROR(TIMEVALUE(RIGHT($L$3:$R$998,5))-TIMEVALUE(LEFT($L$3:$R$998,5)),0),TRANSPOSE(COLUMN($L$2:$R$2)^0)))</f>
        <v>24.791666666666657</v>
      </c>
      <c r="AD9" t="s">
        <v>7</v>
      </c>
      <c r="AE9" s="1">
        <v>15</v>
      </c>
    </row>
    <row r="10" spans="1:31">
      <c r="A10" s="10" t="s">
        <v>21</v>
      </c>
      <c r="B10" s="10">
        <v>1</v>
      </c>
      <c r="C10" s="11" t="s">
        <v>7</v>
      </c>
      <c r="D10" s="10"/>
      <c r="E10" s="11" t="s">
        <v>12</v>
      </c>
      <c r="F10" s="11" t="s">
        <v>9</v>
      </c>
      <c r="G10" s="11" t="s">
        <v>9</v>
      </c>
      <c r="H10" s="11" t="s">
        <v>12</v>
      </c>
      <c r="I10" s="11" t="s">
        <v>12</v>
      </c>
      <c r="J10" s="11" t="s">
        <v>12</v>
      </c>
      <c r="K10" s="11" t="s">
        <v>12</v>
      </c>
      <c r="L10" s="11" t="s">
        <v>12</v>
      </c>
      <c r="M10" s="11" t="s">
        <v>9</v>
      </c>
      <c r="N10" s="11" t="s">
        <v>9</v>
      </c>
      <c r="O10" s="11" t="s">
        <v>12</v>
      </c>
      <c r="P10" s="11" t="s">
        <v>12</v>
      </c>
      <c r="Q10" s="11" t="s">
        <v>12</v>
      </c>
      <c r="R10" s="11" t="s">
        <v>12</v>
      </c>
      <c r="S10" s="8" cm="1">
        <f t="array" ref="S10">SUMPRODUCT(IFERROR(TIMEVALUE(RIGHT(E10:K10,5))-TIMEVALUE(LEFT(E10:K10,5)),0))</f>
        <v>1.770833333333333</v>
      </c>
      <c r="T10" s="3" cm="1">
        <f t="array" ref="T10">SUMPRODUCT(IFERROR(TIMEVALUE(RIGHT(L10:R10,5))-TIMEVALUE(LEFT(L10:R10,5)),0))</f>
        <v>1.770833333333333</v>
      </c>
      <c r="W10" s="10" t="str">
        <v>Charlie Bennett</v>
      </c>
      <c r="X10" s="14" cm="1">
        <f t="array" ref="X10">SUMPRODUCT(($C$3:$C$998=$W10)*MMULT(IFERROR(TIMEVALUE(RIGHT($E$3:$K$998,5))-TIMEVALUE(LEFT($E$3:$K$998,5)),0),TRANSPOSE(COLUMN($E$2:$K$2)^0)))</f>
        <v>26.208333333333321</v>
      </c>
      <c r="Y10" s="14" cm="1">
        <f t="array" ref="Y10">SUMPRODUCT(($C$3:$C$998=$W10)*MMULT(IFERROR(TIMEVALUE(RIGHT($L$3:$R$998,5))-TIMEVALUE(LEFT($L$3:$R$998,5)),0),TRANSPOSE(COLUMN($L$2:$R$2)^0)))</f>
        <v>26.562499999999986</v>
      </c>
      <c r="AD10" t="s">
        <v>22</v>
      </c>
      <c r="AE10" s="1">
        <v>15</v>
      </c>
    </row>
    <row r="11" spans="1:31">
      <c r="A11" s="10" t="s">
        <v>23</v>
      </c>
      <c r="B11" s="10">
        <v>1</v>
      </c>
      <c r="C11" s="11" t="s">
        <v>7</v>
      </c>
      <c r="D11" s="10"/>
      <c r="E11" s="11" t="s">
        <v>12</v>
      </c>
      <c r="F11" s="11" t="s">
        <v>12</v>
      </c>
      <c r="G11" s="11" t="s">
        <v>12</v>
      </c>
      <c r="H11" s="11" t="s">
        <v>9</v>
      </c>
      <c r="I11" s="11" t="s">
        <v>9</v>
      </c>
      <c r="J11" s="11" t="s">
        <v>12</v>
      </c>
      <c r="K11" s="11" t="s">
        <v>12</v>
      </c>
      <c r="L11" s="11" t="s">
        <v>12</v>
      </c>
      <c r="M11" s="11" t="s">
        <v>12</v>
      </c>
      <c r="N11" s="11" t="s">
        <v>12</v>
      </c>
      <c r="O11" s="11" t="s">
        <v>9</v>
      </c>
      <c r="P11" s="11" t="s">
        <v>9</v>
      </c>
      <c r="Q11" s="11" t="s">
        <v>12</v>
      </c>
      <c r="R11" s="11" t="s">
        <v>12</v>
      </c>
      <c r="S11" s="8" cm="1">
        <f t="array" ref="S11">SUMPRODUCT(IFERROR(TIMEVALUE(RIGHT(E11:K11,5))-TIMEVALUE(LEFT(E11:K11,5)),0))</f>
        <v>1.770833333333333</v>
      </c>
      <c r="T11" s="3" cm="1">
        <f t="array" ref="T11">SUMPRODUCT(IFERROR(TIMEVALUE(RIGHT(L11:R11,5))-TIMEVALUE(LEFT(L11:R11,5)),0))</f>
        <v>1.770833333333333</v>
      </c>
      <c r="W11" s="10" t="str">
        <v>Morgan Shaw</v>
      </c>
      <c r="X11" s="14" cm="1">
        <f t="array" ref="X11">SUMPRODUCT(($C$3:$C$998=$W11)*MMULT(IFERROR(TIMEVALUE(RIGHT($E$3:$K$998,5))-TIMEVALUE(LEFT($E$3:$K$998,5)),0),TRANSPOSE(COLUMN($E$2:$K$2)^0)))</f>
        <v>21.958333333333332</v>
      </c>
      <c r="Y11" s="14" cm="1">
        <f t="array" ref="Y11">SUMPRODUCT(($C$3:$C$998=$W11)*MMULT(IFERROR(TIMEVALUE(RIGHT($L$3:$R$998,5))-TIMEVALUE(LEFT($L$3:$R$998,5)),0),TRANSPOSE(COLUMN($L$2:$R$2)^0)))</f>
        <v>23.020833333333332</v>
      </c>
      <c r="AD11" t="s">
        <v>24</v>
      </c>
      <c r="AE11" s="1">
        <v>14</v>
      </c>
    </row>
    <row r="12" spans="1:31">
      <c r="A12" s="10" t="s">
        <v>25</v>
      </c>
      <c r="B12" s="10">
        <v>1</v>
      </c>
      <c r="C12" s="11" t="s">
        <v>7</v>
      </c>
      <c r="D12" s="10"/>
      <c r="E12" s="11" t="s">
        <v>12</v>
      </c>
      <c r="F12" s="11" t="s">
        <v>12</v>
      </c>
      <c r="G12" s="11" t="s">
        <v>12</v>
      </c>
      <c r="H12" s="11" t="s">
        <v>12</v>
      </c>
      <c r="I12" s="11" t="s">
        <v>12</v>
      </c>
      <c r="J12" s="11" t="s">
        <v>9</v>
      </c>
      <c r="K12" s="11" t="s">
        <v>9</v>
      </c>
      <c r="L12" s="11" t="s">
        <v>12</v>
      </c>
      <c r="M12" s="11" t="s">
        <v>12</v>
      </c>
      <c r="N12" s="11" t="s">
        <v>12</v>
      </c>
      <c r="O12" s="11" t="s">
        <v>12</v>
      </c>
      <c r="P12" s="11" t="s">
        <v>12</v>
      </c>
      <c r="Q12" s="11" t="s">
        <v>9</v>
      </c>
      <c r="R12" s="11" t="s">
        <v>9</v>
      </c>
      <c r="S12" s="8" cm="1">
        <f t="array" ref="S12">SUMPRODUCT(IFERROR(TIMEVALUE(RIGHT(E12:K12,5))-TIMEVALUE(LEFT(E12:K12,5)),0))</f>
        <v>1.770833333333333</v>
      </c>
      <c r="T12" s="3" cm="1">
        <f t="array" ref="T12">SUMPRODUCT(IFERROR(TIMEVALUE(RIGHT(L12:R12,5))-TIMEVALUE(LEFT(L12:R12,5)),0))</f>
        <v>1.770833333333333</v>
      </c>
      <c r="W12" s="10" t="str">
        <v>Blair Austin</v>
      </c>
      <c r="X12" s="14" cm="1">
        <f t="array" ref="X12">SUMPRODUCT(($C$3:$C$998=$W12)*MMULT(IFERROR(TIMEVALUE(RIGHT($E$3:$K$998,5))-TIMEVALUE(LEFT($E$3:$K$998,5)),0),TRANSPOSE(COLUMN($E$2:$K$2)^0)))</f>
        <v>26.208333333333332</v>
      </c>
      <c r="Y12" s="14" cm="1">
        <f t="array" ref="Y12">SUMPRODUCT(($C$3:$C$998=$W12)*MMULT(IFERROR(TIMEVALUE(RIGHT($L$3:$R$998,5))-TIMEVALUE(LEFT($L$3:$R$998,5)),0),TRANSPOSE(COLUMN($L$2:$R$2)^0)))</f>
        <v>26.562499999999996</v>
      </c>
      <c r="AD12" t="s">
        <v>26</v>
      </c>
      <c r="AE12" s="1">
        <v>13</v>
      </c>
    </row>
    <row r="13" spans="1:31">
      <c r="A13" s="10" t="s">
        <v>27</v>
      </c>
      <c r="B13" s="10">
        <v>1</v>
      </c>
      <c r="C13" s="11" t="s">
        <v>7</v>
      </c>
      <c r="D13" s="10"/>
      <c r="E13" s="11" t="s">
        <v>12</v>
      </c>
      <c r="F13" s="11" t="s">
        <v>12</v>
      </c>
      <c r="G13" s="11" t="s">
        <v>12</v>
      </c>
      <c r="H13" s="11" t="s">
        <v>12</v>
      </c>
      <c r="I13" s="11" t="s">
        <v>12</v>
      </c>
      <c r="J13" s="11" t="s">
        <v>9</v>
      </c>
      <c r="K13" s="11" t="s">
        <v>9</v>
      </c>
      <c r="L13" s="11" t="s">
        <v>12</v>
      </c>
      <c r="M13" s="11" t="s">
        <v>12</v>
      </c>
      <c r="N13" s="11" t="s">
        <v>12</v>
      </c>
      <c r="O13" s="11" t="s">
        <v>12</v>
      </c>
      <c r="P13" s="11" t="s">
        <v>12</v>
      </c>
      <c r="Q13" s="11" t="s">
        <v>9</v>
      </c>
      <c r="R13" s="11" t="s">
        <v>9</v>
      </c>
      <c r="S13" s="8" cm="1">
        <f t="array" ref="S13">SUMPRODUCT(IFERROR(TIMEVALUE(RIGHT(E13:K13,5))-TIMEVALUE(LEFT(E13:K13,5)),0))</f>
        <v>1.770833333333333</v>
      </c>
      <c r="T13" s="3" cm="1">
        <f t="array" ref="T13">SUMPRODUCT(IFERROR(TIMEVALUE(RIGHT(L13:R13,5))-TIMEVALUE(LEFT(L13:R13,5)),0))</f>
        <v>1.770833333333333</v>
      </c>
      <c r="W13" s="10" t="str">
        <v>Sam Avery</v>
      </c>
      <c r="X13" s="14" cm="1">
        <f t="array" ref="X13">SUMPRODUCT(($C$3:$C$998=$W13)*MMULT(IFERROR(TIMEVALUE(RIGHT($E$3:$K$998,5))-TIMEVALUE(LEFT($E$3:$K$998,5)),0),TRANSPOSE(COLUMN($E$2:$K$2)^0)))</f>
        <v>24.437499999999993</v>
      </c>
      <c r="Y13" s="14" cm="1">
        <f t="array" ref="Y13">SUMPRODUCT(($C$3:$C$998=$W13)*MMULT(IFERROR(TIMEVALUE(RIGHT($L$3:$R$998,5))-TIMEVALUE(LEFT($L$3:$R$998,5)),0),TRANSPOSE(COLUMN($L$2:$R$2)^0)))</f>
        <v>24.083333333333325</v>
      </c>
      <c r="AD13" t="s">
        <v>28</v>
      </c>
      <c r="AE13" s="1">
        <v>12</v>
      </c>
    </row>
    <row r="14" spans="1:31">
      <c r="A14" s="10" t="s">
        <v>29</v>
      </c>
      <c r="B14" s="10">
        <v>1</v>
      </c>
      <c r="C14" s="11" t="s">
        <v>7</v>
      </c>
      <c r="D14" s="10"/>
      <c r="E14" s="11" t="s">
        <v>30</v>
      </c>
      <c r="F14" s="11" t="s">
        <v>30</v>
      </c>
      <c r="G14" s="11" t="s">
        <v>30</v>
      </c>
      <c r="H14" s="11" t="s">
        <v>30</v>
      </c>
      <c r="I14" s="11" t="s">
        <v>12</v>
      </c>
      <c r="J14" s="11" t="s">
        <v>9</v>
      </c>
      <c r="K14" s="11" t="s">
        <v>9</v>
      </c>
      <c r="L14" s="11" t="s">
        <v>12</v>
      </c>
      <c r="M14" s="11" t="s">
        <v>12</v>
      </c>
      <c r="N14" s="11" t="s">
        <v>12</v>
      </c>
      <c r="O14" s="11" t="s">
        <v>12</v>
      </c>
      <c r="P14" s="11" t="s">
        <v>12</v>
      </c>
      <c r="Q14" s="11" t="s">
        <v>9</v>
      </c>
      <c r="R14" s="11" t="s">
        <v>9</v>
      </c>
      <c r="S14" s="8" cm="1">
        <f t="array" ref="S14">SUMPRODUCT(IFERROR(TIMEVALUE(RIGHT(E14:K14,5))-TIMEVALUE(LEFT(E14:K14,5)),0))</f>
        <v>1.7708333333333335</v>
      </c>
      <c r="T14" s="3" cm="1">
        <f t="array" ref="T14">SUMPRODUCT(IFERROR(TIMEVALUE(RIGHT(L14:R14,5))-TIMEVALUE(LEFT(L14:R14,5)),0))</f>
        <v>1.770833333333333</v>
      </c>
      <c r="W14" s="10" t="str">
        <v>Robin Clarke</v>
      </c>
      <c r="X14" s="14" cm="1">
        <f t="array" ref="X14">SUMPRODUCT(($C$3:$C$998=$W14)*MMULT(IFERROR(TIMEVALUE(RIGHT($E$3:$K$998,5))-TIMEVALUE(LEFT($E$3:$K$998,5)),0),TRANSPOSE(COLUMN($E$2:$K$2)^0)))</f>
        <v>26.562499999999996</v>
      </c>
      <c r="Y14" s="14" cm="1">
        <f t="array" ref="Y14">SUMPRODUCT(($C$3:$C$998=$W14)*MMULT(IFERROR(TIMEVALUE(RIGHT($L$3:$R$998,5))-TIMEVALUE(LEFT($L$3:$R$998,5)),0),TRANSPOSE(COLUMN($L$2:$R$2)^0)))</f>
        <v>26.562499999999996</v>
      </c>
      <c r="AD14" t="s">
        <v>31</v>
      </c>
      <c r="AE14" s="1">
        <v>15</v>
      </c>
    </row>
    <row r="15" spans="1:31">
      <c r="A15" s="10" t="s">
        <v>32</v>
      </c>
      <c r="B15" s="10">
        <v>1</v>
      </c>
      <c r="C15" s="11" t="s">
        <v>7</v>
      </c>
      <c r="D15" s="10"/>
      <c r="E15" s="11" t="s">
        <v>12</v>
      </c>
      <c r="F15" s="11" t="s">
        <v>12</v>
      </c>
      <c r="G15" s="11" t="s">
        <v>12</v>
      </c>
      <c r="H15" s="11" t="s">
        <v>12</v>
      </c>
      <c r="I15" s="11" t="s">
        <v>12</v>
      </c>
      <c r="J15" s="11" t="s">
        <v>9</v>
      </c>
      <c r="K15" s="11" t="s">
        <v>9</v>
      </c>
      <c r="L15" s="11" t="s">
        <v>12</v>
      </c>
      <c r="M15" s="11" t="s">
        <v>12</v>
      </c>
      <c r="N15" s="11" t="s">
        <v>12</v>
      </c>
      <c r="O15" s="11" t="s">
        <v>12</v>
      </c>
      <c r="P15" s="11" t="s">
        <v>12</v>
      </c>
      <c r="Q15" s="11" t="s">
        <v>9</v>
      </c>
      <c r="R15" s="11" t="s">
        <v>9</v>
      </c>
      <c r="S15" s="8" cm="1">
        <f t="array" ref="S15">SUMPRODUCT(IFERROR(TIMEVALUE(RIGHT(E15:K15,5))-TIMEVALUE(LEFT(E15:K15,5)),0))</f>
        <v>1.770833333333333</v>
      </c>
      <c r="T15" s="3" cm="1">
        <f t="array" ref="T15">SUMPRODUCT(IFERROR(TIMEVALUE(RIGHT(L15:R15,5))-TIMEVALUE(LEFT(L15:R15,5)),0))</f>
        <v>1.770833333333333</v>
      </c>
      <c r="W15" s="10" t="str">
        <v>Frankie Baxter</v>
      </c>
      <c r="X15" s="14" cm="1">
        <f t="array" ref="X15">SUMPRODUCT(($C$3:$C$998=$W15)*MMULT(IFERROR(TIMEVALUE(RIGHT($E$3:$K$998,5))-TIMEVALUE(LEFT($E$3:$K$998,5)),0),TRANSPOSE(COLUMN($E$2:$K$2)^0)))</f>
        <v>26.562499999999996</v>
      </c>
      <c r="Y15" s="14" cm="1">
        <f t="array" ref="Y15">SUMPRODUCT(($C$3:$C$998=$W15)*MMULT(IFERROR(TIMEVALUE(RIGHT($L$3:$R$998,5))-TIMEVALUE(LEFT($L$3:$R$998,5)),0),TRANSPOSE(COLUMN($L$2:$R$2)^0)))</f>
        <v>26.562499999999996</v>
      </c>
      <c r="AD15" t="s">
        <v>33</v>
      </c>
      <c r="AE15" s="1">
        <v>15</v>
      </c>
    </row>
    <row r="16" spans="1:31">
      <c r="A16" s="10" t="s">
        <v>34</v>
      </c>
      <c r="B16" s="10">
        <v>1</v>
      </c>
      <c r="C16" s="11" t="s">
        <v>7</v>
      </c>
      <c r="D16" s="10"/>
      <c r="E16" s="11" t="s">
        <v>12</v>
      </c>
      <c r="F16" s="11" t="s">
        <v>12</v>
      </c>
      <c r="G16" s="11" t="s">
        <v>12</v>
      </c>
      <c r="H16" s="11" t="s">
        <v>12</v>
      </c>
      <c r="I16" s="11" t="s">
        <v>12</v>
      </c>
      <c r="J16" s="11" t="s">
        <v>9</v>
      </c>
      <c r="K16" s="11" t="s">
        <v>9</v>
      </c>
      <c r="L16" s="11" t="s">
        <v>12</v>
      </c>
      <c r="M16" s="11" t="s">
        <v>12</v>
      </c>
      <c r="N16" s="11" t="s">
        <v>12</v>
      </c>
      <c r="O16" s="11" t="s">
        <v>12</v>
      </c>
      <c r="P16" s="11" t="s">
        <v>12</v>
      </c>
      <c r="Q16" s="11" t="s">
        <v>9</v>
      </c>
      <c r="R16" s="11" t="s">
        <v>9</v>
      </c>
      <c r="S16" s="8" cm="1">
        <f t="array" ref="S16">SUMPRODUCT(IFERROR(TIMEVALUE(RIGHT(E16:K16,5))-TIMEVALUE(LEFT(E16:K16,5)),0))</f>
        <v>1.770833333333333</v>
      </c>
      <c r="T16" s="3" cm="1">
        <f t="array" ref="T16">SUMPRODUCT(IFERROR(TIMEVALUE(RIGHT(L16:R16,5))-TIMEVALUE(LEFT(L16:R16,5)),0))</f>
        <v>1.770833333333333</v>
      </c>
      <c r="W16" s="10" t="str">
        <v>Rowan Carter</v>
      </c>
      <c r="X16" s="14" cm="1">
        <f t="array" ref="X16">SUMPRODUCT(($C$3:$C$998=$W16)*MMULT(IFERROR(TIMEVALUE(RIGHT($E$3:$K$998,5))-TIMEVALUE(LEFT($E$3:$K$998,5)),0),TRANSPOSE(COLUMN($E$2:$K$2)^0)))</f>
        <v>26.562499999999996</v>
      </c>
      <c r="Y16" s="14" cm="1">
        <f t="array" ref="Y16">SUMPRODUCT(($C$3:$C$998=$W16)*MMULT(IFERROR(TIMEVALUE(RIGHT($L$3:$R$998,5))-TIMEVALUE(LEFT($L$3:$R$998,5)),0),TRANSPOSE(COLUMN($L$2:$R$2)^0)))</f>
        <v>26.562499999999996</v>
      </c>
      <c r="AD16" t="s">
        <v>35</v>
      </c>
      <c r="AE16" s="1">
        <v>15</v>
      </c>
    </row>
    <row r="17" spans="1:31">
      <c r="A17" s="10" t="s">
        <v>36</v>
      </c>
      <c r="B17" s="10">
        <v>1</v>
      </c>
      <c r="C17" s="11" t="s">
        <v>7</v>
      </c>
      <c r="D17" s="10"/>
      <c r="E17" s="11" t="s">
        <v>8</v>
      </c>
      <c r="F17" s="11" t="s">
        <v>8</v>
      </c>
      <c r="G17" s="11" t="s">
        <v>8</v>
      </c>
      <c r="H17" s="11" t="s">
        <v>8</v>
      </c>
      <c r="I17" s="11" t="s">
        <v>8</v>
      </c>
      <c r="J17" s="11" t="s">
        <v>9</v>
      </c>
      <c r="K17" s="11" t="s">
        <v>9</v>
      </c>
      <c r="L17" s="11" t="s">
        <v>12</v>
      </c>
      <c r="M17" s="11" t="s">
        <v>12</v>
      </c>
      <c r="N17" s="11" t="s">
        <v>12</v>
      </c>
      <c r="O17" s="11" t="s">
        <v>12</v>
      </c>
      <c r="P17" s="11" t="s">
        <v>12</v>
      </c>
      <c r="Q17" s="11" t="s">
        <v>9</v>
      </c>
      <c r="R17" s="11" t="s">
        <v>9</v>
      </c>
      <c r="S17" s="8" cm="1">
        <f t="array" ref="S17">SUMPRODUCT(IFERROR(TIMEVALUE(RIGHT(E17:K17,5))-TIMEVALUE(LEFT(E17:K17,5)),0))</f>
        <v>1.7708333333333335</v>
      </c>
      <c r="T17" s="3" cm="1">
        <f t="array" ref="T17">SUMPRODUCT(IFERROR(TIMEVALUE(RIGHT(L17:R17,5))-TIMEVALUE(LEFT(L17:R17,5)),0))</f>
        <v>1.770833333333333</v>
      </c>
      <c r="W17" s="10" t="str">
        <v>David Cooper</v>
      </c>
      <c r="X17" s="14" cm="1">
        <f t="array" ref="X17">SUMPRODUCT(($C$3:$C$998=$W17)*MMULT(IFERROR(TIMEVALUE(RIGHT($E$3:$K$998,5))-TIMEVALUE(LEFT($E$3:$K$998,5)),0),TRANSPOSE(COLUMN($E$2:$K$2)^0)))</f>
        <v>24.791666666666664</v>
      </c>
      <c r="Y17" s="14" cm="1">
        <f t="array" ref="Y17">SUMPRODUCT(($C$3:$C$998=$W17)*MMULT(IFERROR(TIMEVALUE(RIGHT($L$3:$R$998,5))-TIMEVALUE(LEFT($L$3:$R$998,5)),0),TRANSPOSE(COLUMN($L$2:$R$2)^0)))</f>
        <v>24.791666666666664</v>
      </c>
      <c r="AD17" t="s">
        <v>37</v>
      </c>
      <c r="AE17" s="1">
        <v>15</v>
      </c>
    </row>
    <row r="18" spans="1:31">
      <c r="A18" s="10" t="s">
        <v>38</v>
      </c>
      <c r="B18" s="10">
        <v>1</v>
      </c>
      <c r="C18" s="11" t="s">
        <v>7</v>
      </c>
      <c r="D18" s="10"/>
      <c r="E18" s="11" t="s">
        <v>12</v>
      </c>
      <c r="F18" s="11" t="s">
        <v>12</v>
      </c>
      <c r="G18" s="11" t="s">
        <v>12</v>
      </c>
      <c r="H18" s="11" t="s">
        <v>9</v>
      </c>
      <c r="I18" s="11" t="s">
        <v>9</v>
      </c>
      <c r="J18" s="11" t="s">
        <v>12</v>
      </c>
      <c r="K18" s="11" t="s">
        <v>12</v>
      </c>
      <c r="L18" s="11" t="s">
        <v>12</v>
      </c>
      <c r="M18" s="11" t="s">
        <v>12</v>
      </c>
      <c r="N18" s="11" t="s">
        <v>12</v>
      </c>
      <c r="O18" s="11" t="s">
        <v>9</v>
      </c>
      <c r="P18" s="11" t="s">
        <v>9</v>
      </c>
      <c r="Q18" s="11" t="s">
        <v>12</v>
      </c>
      <c r="R18" s="11" t="s">
        <v>12</v>
      </c>
      <c r="S18" s="8" cm="1">
        <f t="array" ref="S18">SUMPRODUCT(IFERROR(TIMEVALUE(RIGHT(E18:K18,5))-TIMEVALUE(LEFT(E18:K18,5)),0))</f>
        <v>1.770833333333333</v>
      </c>
      <c r="T18" s="3" cm="1">
        <f t="array" ref="T18">SUMPRODUCT(IFERROR(TIMEVALUE(RIGHT(L18:R18,5))-TIMEVALUE(LEFT(L18:R18,5)),0))</f>
        <v>1.770833333333333</v>
      </c>
      <c r="W18" s="10" t="str">
        <v>Rory Sanderson</v>
      </c>
      <c r="X18" s="14" cm="1">
        <f t="array" ref="X18">SUMPRODUCT(($C$3:$C$998=$W18)*MMULT(IFERROR(TIMEVALUE(RIGHT($E$3:$K$998,5))-TIMEVALUE(LEFT($E$3:$K$998,5)),0),TRANSPOSE(COLUMN($E$2:$K$2)^0)))</f>
        <v>26.562499999999996</v>
      </c>
      <c r="Y18" s="14" cm="1">
        <f t="array" ref="Y18">SUMPRODUCT(($C$3:$C$998=$W18)*MMULT(IFERROR(TIMEVALUE(RIGHT($L$3:$R$998,5))-TIMEVALUE(LEFT($L$3:$R$998,5)),0),TRANSPOSE(COLUMN($L$2:$R$2)^0)))</f>
        <v>26.562499999999996</v>
      </c>
      <c r="AD18" t="s">
        <v>39</v>
      </c>
      <c r="AE18" s="1">
        <v>14</v>
      </c>
    </row>
    <row r="19" spans="1:31">
      <c r="A19" s="10" t="s">
        <v>40</v>
      </c>
      <c r="B19" s="10">
        <v>2</v>
      </c>
      <c r="C19" s="11" t="s">
        <v>41</v>
      </c>
      <c r="D19" s="10"/>
      <c r="E19" s="11" t="s">
        <v>8</v>
      </c>
      <c r="F19" s="11" t="s">
        <v>9</v>
      </c>
      <c r="G19" s="11" t="s">
        <v>9</v>
      </c>
      <c r="H19" s="11" t="s">
        <v>8</v>
      </c>
      <c r="I19" s="11" t="s">
        <v>8</v>
      </c>
      <c r="J19" s="11" t="s">
        <v>8</v>
      </c>
      <c r="K19" s="11" t="s">
        <v>8</v>
      </c>
      <c r="L19" s="11" t="s">
        <v>8</v>
      </c>
      <c r="M19" s="11" t="s">
        <v>9</v>
      </c>
      <c r="N19" s="11" t="s">
        <v>9</v>
      </c>
      <c r="O19" s="11" t="s">
        <v>8</v>
      </c>
      <c r="P19" s="11" t="s">
        <v>8</v>
      </c>
      <c r="Q19" s="11" t="s">
        <v>8</v>
      </c>
      <c r="R19" s="11" t="s">
        <v>8</v>
      </c>
      <c r="S19" s="8" cm="1">
        <f t="array" ref="S19">SUMPRODUCT(IFERROR(TIMEVALUE(RIGHT(E19:K19,5))-TIMEVALUE(LEFT(E19:K19,5)),0))</f>
        <v>1.7708333333333335</v>
      </c>
      <c r="T19" s="3" cm="1">
        <f t="array" ref="T19">SUMPRODUCT(IFERROR(TIMEVALUE(RIGHT(L19:R19,5))-TIMEVALUE(LEFT(L19:R19,5)),0))</f>
        <v>1.7708333333333335</v>
      </c>
      <c r="W19" s="10" t="str">
        <v>Parker Jones</v>
      </c>
      <c r="X19" s="14" cm="1">
        <f t="array" ref="X19">SUMPRODUCT(($C$3:$C$998=$W19)*MMULT(IFERROR(TIMEVALUE(RIGHT($E$3:$K$998,5))-TIMEVALUE(LEFT($E$3:$K$998,5)),0),TRANSPOSE(COLUMN($E$2:$K$2)^0)))</f>
        <v>21.25</v>
      </c>
      <c r="Y19" s="14" cm="1">
        <f t="array" ref="Y19">SUMPRODUCT(($C$3:$C$998=$W19)*MMULT(IFERROR(TIMEVALUE(RIGHT($L$3:$R$998,5))-TIMEVALUE(LEFT($L$3:$R$998,5)),0),TRANSPOSE(COLUMN($L$2:$R$2)^0)))</f>
        <v>21.25</v>
      </c>
      <c r="AD19" t="s">
        <v>41</v>
      </c>
      <c r="AE19" s="1">
        <v>13</v>
      </c>
    </row>
    <row r="20" spans="1:31">
      <c r="A20" s="10" t="s">
        <v>42</v>
      </c>
      <c r="B20" s="10">
        <v>2</v>
      </c>
      <c r="C20" s="11" t="s">
        <v>41</v>
      </c>
      <c r="D20" s="10"/>
      <c r="E20" s="11" t="s">
        <v>30</v>
      </c>
      <c r="F20" s="11" t="s">
        <v>9</v>
      </c>
      <c r="G20" s="11" t="s">
        <v>9</v>
      </c>
      <c r="H20" s="11" t="s">
        <v>30</v>
      </c>
      <c r="I20" s="11" t="s">
        <v>30</v>
      </c>
      <c r="J20" s="11" t="s">
        <v>30</v>
      </c>
      <c r="K20" s="11" t="s">
        <v>30</v>
      </c>
      <c r="L20" s="11" t="s">
        <v>30</v>
      </c>
      <c r="M20" s="11" t="s">
        <v>9</v>
      </c>
      <c r="N20" s="11" t="s">
        <v>9</v>
      </c>
      <c r="O20" s="11" t="s">
        <v>30</v>
      </c>
      <c r="P20" s="11" t="s">
        <v>30</v>
      </c>
      <c r="Q20" s="11" t="s">
        <v>30</v>
      </c>
      <c r="R20" s="11" t="s">
        <v>30</v>
      </c>
      <c r="S20" s="8" cm="1">
        <f t="array" ref="S20">SUMPRODUCT(IFERROR(TIMEVALUE(RIGHT(E20:K20,5))-TIMEVALUE(LEFT(E20:K20,5)),0))</f>
        <v>1.7708333333333335</v>
      </c>
      <c r="T20" s="3" cm="1">
        <f t="array" ref="T20">SUMPRODUCT(IFERROR(TIMEVALUE(RIGHT(L20:R20,5))-TIMEVALUE(LEFT(L20:R20,5)),0))</f>
        <v>1.7708333333333335</v>
      </c>
      <c r="W20" s="10" t="str">
        <v>Blake Jackson</v>
      </c>
      <c r="X20" s="14" cm="1">
        <f t="array" ref="X20">SUMPRODUCT(($C$3:$C$998=$W20)*MMULT(IFERROR(TIMEVALUE(RIGHT($E$3:$K$998,5))-TIMEVALUE(LEFT($E$3:$K$998,5)),0),TRANSPOSE(COLUMN($E$2:$K$2)^0)))</f>
        <v>63.750000000000036</v>
      </c>
      <c r="Y20" s="14" cm="1">
        <f t="array" ref="Y20">SUMPRODUCT(($C$3:$C$998=$W20)*MMULT(IFERROR(TIMEVALUE(RIGHT($L$3:$R$998,5))-TIMEVALUE(LEFT($L$3:$R$998,5)),0),TRANSPOSE(COLUMN($L$2:$R$2)^0)))</f>
        <v>63.750000000000036</v>
      </c>
      <c r="AD20" t="s">
        <v>43</v>
      </c>
      <c r="AE20" s="1">
        <v>15</v>
      </c>
    </row>
    <row r="21" spans="1:31">
      <c r="A21" s="10" t="s">
        <v>44</v>
      </c>
      <c r="B21" s="10">
        <v>2</v>
      </c>
      <c r="C21" s="11" t="s">
        <v>41</v>
      </c>
      <c r="D21" s="10"/>
      <c r="E21" s="11" t="s">
        <v>30</v>
      </c>
      <c r="F21" s="11" t="s">
        <v>30</v>
      </c>
      <c r="G21" s="11" t="s">
        <v>30</v>
      </c>
      <c r="H21" s="11" t="s">
        <v>30</v>
      </c>
      <c r="I21" s="11" t="s">
        <v>30</v>
      </c>
      <c r="J21" s="11" t="s">
        <v>9</v>
      </c>
      <c r="K21" s="11" t="s">
        <v>9</v>
      </c>
      <c r="L21" s="11" t="s">
        <v>30</v>
      </c>
      <c r="M21" s="11" t="s">
        <v>30</v>
      </c>
      <c r="N21" s="11" t="s">
        <v>30</v>
      </c>
      <c r="O21" s="11" t="s">
        <v>30</v>
      </c>
      <c r="P21" s="11" t="s">
        <v>30</v>
      </c>
      <c r="Q21" s="11" t="s">
        <v>9</v>
      </c>
      <c r="R21" s="11" t="s">
        <v>9</v>
      </c>
      <c r="S21" s="8" cm="1">
        <f t="array" ref="S21">SUMPRODUCT(IFERROR(TIMEVALUE(RIGHT(E21:K21,5))-TIMEVALUE(LEFT(E21:K21,5)),0))</f>
        <v>1.7708333333333335</v>
      </c>
      <c r="T21" s="3" cm="1">
        <f t="array" ref="T21">SUMPRODUCT(IFERROR(TIMEVALUE(RIGHT(L21:R21,5))-TIMEVALUE(LEFT(L21:R21,5)),0))</f>
        <v>1.7708333333333335</v>
      </c>
      <c r="W21" s="10"/>
      <c r="X21" s="14">
        <f>SUM(X5:X20)</f>
        <v>440.93750000000006</v>
      </c>
      <c r="Y21" s="14">
        <f>SUM(Y5:Y20)</f>
        <v>440.9375</v>
      </c>
      <c r="AD21" t="s">
        <v>45</v>
      </c>
      <c r="AE21" s="1">
        <v>251</v>
      </c>
    </row>
    <row r="22" spans="1:31">
      <c r="A22" s="10" t="s">
        <v>46</v>
      </c>
      <c r="B22" s="10">
        <v>2</v>
      </c>
      <c r="C22" s="11" t="s">
        <v>41</v>
      </c>
      <c r="D22" s="10"/>
      <c r="E22" s="11" t="s">
        <v>30</v>
      </c>
      <c r="F22" s="11" t="s">
        <v>30</v>
      </c>
      <c r="G22" s="11" t="s">
        <v>30</v>
      </c>
      <c r="H22" s="11" t="s">
        <v>30</v>
      </c>
      <c r="I22" s="11" t="s">
        <v>30</v>
      </c>
      <c r="J22" s="11" t="s">
        <v>9</v>
      </c>
      <c r="K22" s="11" t="s">
        <v>9</v>
      </c>
      <c r="L22" s="11" t="s">
        <v>30</v>
      </c>
      <c r="M22" s="11" t="s">
        <v>30</v>
      </c>
      <c r="N22" s="11" t="s">
        <v>30</v>
      </c>
      <c r="O22" s="11" t="s">
        <v>30</v>
      </c>
      <c r="P22" s="11" t="s">
        <v>30</v>
      </c>
      <c r="Q22" s="11" t="s">
        <v>9</v>
      </c>
      <c r="R22" s="11" t="s">
        <v>9</v>
      </c>
      <c r="S22" s="8" cm="1">
        <f t="array" ref="S22">SUMPRODUCT(IFERROR(TIMEVALUE(RIGHT(E22:K22,5))-TIMEVALUE(LEFT(E22:K22,5)),0))</f>
        <v>1.7708333333333335</v>
      </c>
      <c r="T22" s="3" cm="1">
        <f t="array" ref="T22">SUMPRODUCT(IFERROR(TIMEVALUE(RIGHT(L22:R22,5))-TIMEVALUE(LEFT(L22:R22,5)),0))</f>
        <v>1.7708333333333335</v>
      </c>
    </row>
    <row r="23" spans="1:31">
      <c r="A23" s="10" t="s">
        <v>47</v>
      </c>
      <c r="B23" s="10">
        <v>2</v>
      </c>
      <c r="C23" s="11" t="s">
        <v>41</v>
      </c>
      <c r="D23" s="10"/>
      <c r="E23" s="11" t="s">
        <v>30</v>
      </c>
      <c r="F23" s="11" t="s">
        <v>30</v>
      </c>
      <c r="G23" s="11" t="s">
        <v>30</v>
      </c>
      <c r="H23" s="11" t="s">
        <v>30</v>
      </c>
      <c r="I23" s="11" t="s">
        <v>30</v>
      </c>
      <c r="J23" s="11" t="s">
        <v>9</v>
      </c>
      <c r="K23" s="11" t="s">
        <v>9</v>
      </c>
      <c r="L23" s="11" t="s">
        <v>30</v>
      </c>
      <c r="M23" s="11" t="s">
        <v>30</v>
      </c>
      <c r="N23" s="11" t="s">
        <v>30</v>
      </c>
      <c r="O23" s="11" t="s">
        <v>30</v>
      </c>
      <c r="P23" s="11" t="s">
        <v>30</v>
      </c>
      <c r="Q23" s="11" t="s">
        <v>9</v>
      </c>
      <c r="R23" s="11" t="s">
        <v>9</v>
      </c>
      <c r="S23" s="8" cm="1">
        <f t="array" ref="S23">SUMPRODUCT(IFERROR(TIMEVALUE(RIGHT(E23:K23,5))-TIMEVALUE(LEFT(E23:K23,5)),0))</f>
        <v>1.7708333333333335</v>
      </c>
      <c r="T23" s="3" cm="1">
        <f t="array" ref="T23">SUMPRODUCT(IFERROR(TIMEVALUE(RIGHT(L23:R23,5))-TIMEVALUE(LEFT(L23:R23,5)),0))</f>
        <v>1.7708333333333335</v>
      </c>
    </row>
    <row r="24" spans="1:31">
      <c r="A24" s="10" t="s">
        <v>48</v>
      </c>
      <c r="B24" s="10">
        <v>2</v>
      </c>
      <c r="C24" s="11" t="s">
        <v>41</v>
      </c>
      <c r="D24" s="10"/>
      <c r="E24" s="11" t="s">
        <v>30</v>
      </c>
      <c r="F24" s="11" t="s">
        <v>30</v>
      </c>
      <c r="G24" s="11" t="s">
        <v>30</v>
      </c>
      <c r="H24" s="11" t="s">
        <v>30</v>
      </c>
      <c r="I24" s="11" t="s">
        <v>30</v>
      </c>
      <c r="J24" s="11" t="s">
        <v>9</v>
      </c>
      <c r="K24" s="11" t="s">
        <v>9</v>
      </c>
      <c r="L24" s="11" t="s">
        <v>30</v>
      </c>
      <c r="M24" s="11" t="s">
        <v>30</v>
      </c>
      <c r="N24" s="11" t="s">
        <v>30</v>
      </c>
      <c r="O24" s="11" t="s">
        <v>30</v>
      </c>
      <c r="P24" s="11" t="s">
        <v>30</v>
      </c>
      <c r="Q24" s="11" t="s">
        <v>9</v>
      </c>
      <c r="R24" s="11" t="s">
        <v>9</v>
      </c>
      <c r="S24" s="8" cm="1">
        <f t="array" ref="S24">SUMPRODUCT(IFERROR(TIMEVALUE(RIGHT(E24:K24,5))-TIMEVALUE(LEFT(E24:K24,5)),0))</f>
        <v>1.7708333333333335</v>
      </c>
      <c r="T24" s="3" cm="1">
        <f t="array" ref="T24">SUMPRODUCT(IFERROR(TIMEVALUE(RIGHT(L24:R24,5))-TIMEVALUE(LEFT(L24:R24,5)),0))</f>
        <v>1.7708333333333335</v>
      </c>
    </row>
    <row r="25" spans="1:31">
      <c r="A25" s="10" t="s">
        <v>49</v>
      </c>
      <c r="B25" s="10">
        <v>2</v>
      </c>
      <c r="C25" s="11" t="s">
        <v>41</v>
      </c>
      <c r="D25" s="10"/>
      <c r="E25" s="11" t="s">
        <v>30</v>
      </c>
      <c r="F25" s="11" t="s">
        <v>30</v>
      </c>
      <c r="G25" s="11" t="s">
        <v>30</v>
      </c>
      <c r="H25" s="11" t="s">
        <v>30</v>
      </c>
      <c r="I25" s="11" t="s">
        <v>30</v>
      </c>
      <c r="J25" s="11" t="s">
        <v>9</v>
      </c>
      <c r="K25" s="11" t="s">
        <v>9</v>
      </c>
      <c r="L25" s="11" t="s">
        <v>30</v>
      </c>
      <c r="M25" s="11" t="s">
        <v>30</v>
      </c>
      <c r="N25" s="11" t="s">
        <v>30</v>
      </c>
      <c r="O25" s="11" t="s">
        <v>30</v>
      </c>
      <c r="P25" s="11" t="s">
        <v>30</v>
      </c>
      <c r="Q25" s="11" t="s">
        <v>9</v>
      </c>
      <c r="R25" s="11" t="s">
        <v>9</v>
      </c>
      <c r="S25" s="8" cm="1">
        <f t="array" ref="S25">SUMPRODUCT(IFERROR(TIMEVALUE(RIGHT(E25:K25,5))-TIMEVALUE(LEFT(E25:K25,5)),0))</f>
        <v>1.7708333333333335</v>
      </c>
      <c r="T25" s="3" cm="1">
        <f t="array" ref="T25">SUMPRODUCT(IFERROR(TIMEVALUE(RIGHT(L25:R25,5))-TIMEVALUE(LEFT(L25:R25,5)),0))</f>
        <v>1.7708333333333335</v>
      </c>
    </row>
    <row r="26" spans="1:31">
      <c r="A26" s="10" t="s">
        <v>50</v>
      </c>
      <c r="B26" s="10">
        <v>2</v>
      </c>
      <c r="C26" s="11" t="s">
        <v>41</v>
      </c>
      <c r="D26" s="10"/>
      <c r="E26" s="11" t="s">
        <v>30</v>
      </c>
      <c r="F26" s="11" t="s">
        <v>30</v>
      </c>
      <c r="G26" s="11" t="s">
        <v>30</v>
      </c>
      <c r="H26" s="11" t="s">
        <v>30</v>
      </c>
      <c r="I26" s="11" t="s">
        <v>30</v>
      </c>
      <c r="J26" s="11" t="s">
        <v>9</v>
      </c>
      <c r="K26" s="11" t="s">
        <v>9</v>
      </c>
      <c r="L26" s="11" t="s">
        <v>30</v>
      </c>
      <c r="M26" s="11" t="s">
        <v>30</v>
      </c>
      <c r="N26" s="11" t="s">
        <v>30</v>
      </c>
      <c r="O26" s="11" t="s">
        <v>30</v>
      </c>
      <c r="P26" s="11" t="s">
        <v>30</v>
      </c>
      <c r="Q26" s="11" t="s">
        <v>9</v>
      </c>
      <c r="R26" s="11" t="s">
        <v>9</v>
      </c>
      <c r="S26" s="8" cm="1">
        <f t="array" ref="S26">SUMPRODUCT(IFERROR(TIMEVALUE(RIGHT(E26:K26,5))-TIMEVALUE(LEFT(E26:K26,5)),0))</f>
        <v>1.7708333333333335</v>
      </c>
      <c r="T26" s="3" cm="1">
        <f t="array" ref="T26">SUMPRODUCT(IFERROR(TIMEVALUE(RIGHT(L26:R26,5))-TIMEVALUE(LEFT(L26:R26,5)),0))</f>
        <v>1.7708333333333335</v>
      </c>
    </row>
    <row r="27" spans="1:31">
      <c r="A27" s="10" t="s">
        <v>51</v>
      </c>
      <c r="B27" s="10">
        <v>2</v>
      </c>
      <c r="C27" s="11" t="s">
        <v>41</v>
      </c>
      <c r="D27" s="10"/>
      <c r="E27" s="11" t="s">
        <v>30</v>
      </c>
      <c r="F27" s="11" t="s">
        <v>30</v>
      </c>
      <c r="G27" s="11" t="s">
        <v>30</v>
      </c>
      <c r="H27" s="11" t="s">
        <v>30</v>
      </c>
      <c r="I27" s="11" t="s">
        <v>9</v>
      </c>
      <c r="J27" s="11" t="s">
        <v>9</v>
      </c>
      <c r="K27" s="11" t="s">
        <v>30</v>
      </c>
      <c r="L27" s="11" t="s">
        <v>30</v>
      </c>
      <c r="M27" s="11" t="s">
        <v>30</v>
      </c>
      <c r="N27" s="11" t="s">
        <v>30</v>
      </c>
      <c r="O27" s="11" t="s">
        <v>9</v>
      </c>
      <c r="P27" s="11" t="s">
        <v>9</v>
      </c>
      <c r="Q27" s="11" t="s">
        <v>30</v>
      </c>
      <c r="R27" s="11" t="s">
        <v>30</v>
      </c>
      <c r="S27" s="8" cm="1">
        <f t="array" ref="S27">SUMPRODUCT(IFERROR(TIMEVALUE(RIGHT(E27:K27,5))-TIMEVALUE(LEFT(E27:K27,5)),0))</f>
        <v>1.7708333333333335</v>
      </c>
      <c r="T27" s="3" cm="1">
        <f t="array" ref="T27">SUMPRODUCT(IFERROR(TIMEVALUE(RIGHT(L27:R27,5))-TIMEVALUE(LEFT(L27:R27,5)),0))</f>
        <v>1.7708333333333335</v>
      </c>
    </row>
    <row r="28" spans="1:31">
      <c r="A28" s="10" t="s">
        <v>52</v>
      </c>
      <c r="B28" s="10">
        <v>2</v>
      </c>
      <c r="C28" s="11" t="s">
        <v>41</v>
      </c>
      <c r="D28" s="10"/>
      <c r="E28" s="11" t="s">
        <v>9</v>
      </c>
      <c r="F28" s="11" t="s">
        <v>30</v>
      </c>
      <c r="G28" s="11" t="s">
        <v>30</v>
      </c>
      <c r="H28" s="11" t="s">
        <v>30</v>
      </c>
      <c r="I28" s="11" t="s">
        <v>30</v>
      </c>
      <c r="J28" s="11" t="s">
        <v>30</v>
      </c>
      <c r="K28" s="11" t="s">
        <v>9</v>
      </c>
      <c r="L28" s="11" t="s">
        <v>9</v>
      </c>
      <c r="M28" s="11" t="s">
        <v>30</v>
      </c>
      <c r="N28" s="11" t="s">
        <v>30</v>
      </c>
      <c r="O28" s="11" t="s">
        <v>30</v>
      </c>
      <c r="P28" s="11" t="s">
        <v>30</v>
      </c>
      <c r="Q28" s="11" t="s">
        <v>30</v>
      </c>
      <c r="R28" s="11" t="s">
        <v>9</v>
      </c>
      <c r="S28" s="8" cm="1">
        <f t="array" ref="S28">SUMPRODUCT(IFERROR(TIMEVALUE(RIGHT(E28:K28,5))-TIMEVALUE(LEFT(E28:K28,5)),0))</f>
        <v>1.7708333333333335</v>
      </c>
      <c r="T28" s="3" cm="1">
        <f t="array" ref="T28">SUMPRODUCT(IFERROR(TIMEVALUE(RIGHT(L28:R28,5))-TIMEVALUE(LEFT(L28:R28,5)),0))</f>
        <v>1.7708333333333335</v>
      </c>
    </row>
    <row r="29" spans="1:31">
      <c r="A29" s="10" t="s">
        <v>53</v>
      </c>
      <c r="B29" s="10">
        <v>2</v>
      </c>
      <c r="C29" s="11" t="s">
        <v>41</v>
      </c>
      <c r="D29" s="10"/>
      <c r="E29" s="11" t="s">
        <v>12</v>
      </c>
      <c r="F29" s="11" t="s">
        <v>12</v>
      </c>
      <c r="G29" s="11" t="s">
        <v>12</v>
      </c>
      <c r="H29" s="11" t="s">
        <v>12</v>
      </c>
      <c r="I29" s="11" t="s">
        <v>9</v>
      </c>
      <c r="J29" s="11" t="s">
        <v>9</v>
      </c>
      <c r="K29" s="11" t="s">
        <v>12</v>
      </c>
      <c r="L29" s="11" t="s">
        <v>12</v>
      </c>
      <c r="M29" s="11" t="s">
        <v>12</v>
      </c>
      <c r="N29" s="11" t="s">
        <v>12</v>
      </c>
      <c r="O29" s="11" t="s">
        <v>12</v>
      </c>
      <c r="P29" s="11" t="s">
        <v>9</v>
      </c>
      <c r="Q29" s="11" t="s">
        <v>9</v>
      </c>
      <c r="R29" s="11" t="s">
        <v>12</v>
      </c>
      <c r="S29" s="8" cm="1">
        <f t="array" ref="S29">SUMPRODUCT(IFERROR(TIMEVALUE(RIGHT(E29:K29,5))-TIMEVALUE(LEFT(E29:K29,5)),0))</f>
        <v>1.770833333333333</v>
      </c>
      <c r="T29" s="3" cm="1">
        <f t="array" ref="T29">SUMPRODUCT(IFERROR(TIMEVALUE(RIGHT(L29:R29,5))-TIMEVALUE(LEFT(L29:R29,5)),0))</f>
        <v>1.770833333333333</v>
      </c>
    </row>
    <row r="30" spans="1:31">
      <c r="A30" s="10" t="s">
        <v>54</v>
      </c>
      <c r="B30" s="10">
        <v>2</v>
      </c>
      <c r="C30" s="11" t="s">
        <v>41</v>
      </c>
      <c r="D30" s="10"/>
      <c r="E30" s="11" t="s">
        <v>9</v>
      </c>
      <c r="F30" s="11" t="s">
        <v>12</v>
      </c>
      <c r="G30" s="11" t="s">
        <v>12</v>
      </c>
      <c r="H30" s="11" t="s">
        <v>12</v>
      </c>
      <c r="I30" s="11" t="s">
        <v>12</v>
      </c>
      <c r="J30" s="11" t="s">
        <v>12</v>
      </c>
      <c r="K30" s="11" t="s">
        <v>9</v>
      </c>
      <c r="L30" s="11" t="s">
        <v>9</v>
      </c>
      <c r="M30" s="11" t="s">
        <v>12</v>
      </c>
      <c r="N30" s="11" t="s">
        <v>12</v>
      </c>
      <c r="O30" s="11" t="s">
        <v>12</v>
      </c>
      <c r="P30" s="11" t="s">
        <v>12</v>
      </c>
      <c r="Q30" s="11" t="s">
        <v>12</v>
      </c>
      <c r="R30" s="11" t="s">
        <v>9</v>
      </c>
      <c r="S30" s="8" cm="1">
        <f t="array" ref="S30">SUMPRODUCT(IFERROR(TIMEVALUE(RIGHT(E30:K30,5))-TIMEVALUE(LEFT(E30:K30,5)),0))</f>
        <v>1.770833333333333</v>
      </c>
      <c r="T30" s="3" cm="1">
        <f t="array" ref="T30">SUMPRODUCT(IFERROR(TIMEVALUE(RIGHT(L30:R30,5))-TIMEVALUE(LEFT(L30:R30,5)),0))</f>
        <v>1.770833333333333</v>
      </c>
    </row>
    <row r="31" spans="1:31">
      <c r="A31" s="10" t="s">
        <v>55</v>
      </c>
      <c r="B31" s="10">
        <v>2</v>
      </c>
      <c r="C31" s="11" t="s">
        <v>41</v>
      </c>
      <c r="D31" s="10"/>
      <c r="E31" s="11" t="s">
        <v>12</v>
      </c>
      <c r="F31" s="11" t="s">
        <v>12</v>
      </c>
      <c r="G31" s="11" t="s">
        <v>12</v>
      </c>
      <c r="H31" s="11" t="s">
        <v>12</v>
      </c>
      <c r="I31" s="11" t="s">
        <v>12</v>
      </c>
      <c r="J31" s="11" t="s">
        <v>9</v>
      </c>
      <c r="K31" s="11" t="s">
        <v>9</v>
      </c>
      <c r="L31" s="11" t="s">
        <v>12</v>
      </c>
      <c r="M31" s="11" t="s">
        <v>12</v>
      </c>
      <c r="N31" s="11" t="s">
        <v>12</v>
      </c>
      <c r="O31" s="11" t="s">
        <v>12</v>
      </c>
      <c r="P31" s="11" t="s">
        <v>12</v>
      </c>
      <c r="Q31" s="11" t="s">
        <v>9</v>
      </c>
      <c r="R31" s="11" t="s">
        <v>9</v>
      </c>
      <c r="S31" s="8" cm="1">
        <f t="array" ref="S31">SUMPRODUCT(IFERROR(TIMEVALUE(RIGHT(E31:K31,5))-TIMEVALUE(LEFT(E31:K31,5)),0))</f>
        <v>1.770833333333333</v>
      </c>
      <c r="T31" s="3" cm="1">
        <f t="array" ref="T31">SUMPRODUCT(IFERROR(TIMEVALUE(RIGHT(L31:R31,5))-TIMEVALUE(LEFT(L31:R31,5)),0))</f>
        <v>1.770833333333333</v>
      </c>
    </row>
    <row r="32" spans="1:31">
      <c r="A32" s="10" t="s">
        <v>56</v>
      </c>
      <c r="B32" s="10">
        <v>3</v>
      </c>
      <c r="C32" s="11" t="s">
        <v>24</v>
      </c>
      <c r="D32" s="10"/>
      <c r="E32" s="11" t="s">
        <v>8</v>
      </c>
      <c r="F32" s="11" t="s">
        <v>8</v>
      </c>
      <c r="G32" s="11" t="s">
        <v>8</v>
      </c>
      <c r="H32" s="11" t="s">
        <v>9</v>
      </c>
      <c r="I32" s="11" t="s">
        <v>9</v>
      </c>
      <c r="J32" s="11" t="s">
        <v>8</v>
      </c>
      <c r="K32" s="11" t="s">
        <v>8</v>
      </c>
      <c r="L32" s="11" t="s">
        <v>8</v>
      </c>
      <c r="M32" s="11" t="s">
        <v>9</v>
      </c>
      <c r="N32" s="11" t="s">
        <v>9</v>
      </c>
      <c r="O32" s="11" t="s">
        <v>57</v>
      </c>
      <c r="P32" s="11" t="s">
        <v>57</v>
      </c>
      <c r="Q32" s="11" t="s">
        <v>57</v>
      </c>
      <c r="R32" s="11" t="s">
        <v>8</v>
      </c>
      <c r="S32" s="8" cm="1">
        <f t="array" ref="S32">SUMPRODUCT(IFERROR(TIMEVALUE(RIGHT(E32:K32,5))-TIMEVALUE(LEFT(E32:K32,5)),0))</f>
        <v>1.7708333333333335</v>
      </c>
      <c r="T32" s="3" cm="1">
        <f t="array" ref="T32">SUMPRODUCT(IFERROR(TIMEVALUE(RIGHT(L32:R32,5))-TIMEVALUE(LEFT(L32:R32,5)),0))</f>
        <v>0.70833333333333337</v>
      </c>
    </row>
    <row r="33" spans="1:31" s="9" customFormat="1">
      <c r="A33" s="15" t="s">
        <v>58</v>
      </c>
      <c r="B33" s="15">
        <v>3</v>
      </c>
      <c r="C33" s="16" t="s">
        <v>24</v>
      </c>
      <c r="D33" s="15"/>
      <c r="E33" s="16" t="s">
        <v>9</v>
      </c>
      <c r="F33" s="16" t="s">
        <v>9</v>
      </c>
      <c r="G33" s="16" t="s">
        <v>30</v>
      </c>
      <c r="H33" s="16" t="s">
        <v>30</v>
      </c>
      <c r="I33" s="16" t="s">
        <v>30</v>
      </c>
      <c r="J33" s="16" t="s">
        <v>30</v>
      </c>
      <c r="K33" s="16" t="s">
        <v>30</v>
      </c>
      <c r="L33" s="16" t="s">
        <v>9</v>
      </c>
      <c r="M33" s="16" t="s">
        <v>9</v>
      </c>
      <c r="N33" s="16" t="s">
        <v>30</v>
      </c>
      <c r="O33" s="16" t="s">
        <v>30</v>
      </c>
      <c r="P33" s="16" t="s">
        <v>30</v>
      </c>
      <c r="Q33" s="16" t="s">
        <v>30</v>
      </c>
      <c r="R33" s="16" t="s">
        <v>30</v>
      </c>
      <c r="S33" s="8" cm="1">
        <f t="array" ref="S33">SUMPRODUCT(IFERROR(TIMEVALUE(RIGHT(E33:K33,5))-TIMEVALUE(LEFT(E33:K33,5)),0))</f>
        <v>1.7708333333333335</v>
      </c>
      <c r="T33" s="3" cm="1">
        <f t="array" ref="T33">SUMPRODUCT(IFERROR(TIMEVALUE(RIGHT(L33:R33,5))-TIMEVALUE(LEFT(L33:R33,5)),0))</f>
        <v>1.7708333333333335</v>
      </c>
      <c r="AE33" s="2"/>
    </row>
    <row r="34" spans="1:31" s="9" customFormat="1">
      <c r="A34" s="15" t="s">
        <v>59</v>
      </c>
      <c r="B34" s="15">
        <v>3</v>
      </c>
      <c r="C34" s="16" t="s">
        <v>24</v>
      </c>
      <c r="D34" s="15"/>
      <c r="E34" s="16" t="s">
        <v>9</v>
      </c>
      <c r="F34" s="16" t="s">
        <v>30</v>
      </c>
      <c r="G34" s="16" t="s">
        <v>30</v>
      </c>
      <c r="H34" s="16" t="s">
        <v>30</v>
      </c>
      <c r="I34" s="16" t="s">
        <v>30</v>
      </c>
      <c r="J34" s="16" t="s">
        <v>30</v>
      </c>
      <c r="K34" s="16" t="s">
        <v>9</v>
      </c>
      <c r="L34" s="16" t="s">
        <v>9</v>
      </c>
      <c r="M34" s="16" t="s">
        <v>30</v>
      </c>
      <c r="N34" s="16" t="s">
        <v>30</v>
      </c>
      <c r="O34" s="16" t="s">
        <v>30</v>
      </c>
      <c r="P34" s="16" t="s">
        <v>30</v>
      </c>
      <c r="Q34" s="16" t="s">
        <v>30</v>
      </c>
      <c r="R34" s="16" t="s">
        <v>9</v>
      </c>
      <c r="S34" s="8" cm="1">
        <f t="array" ref="S34">SUMPRODUCT(IFERROR(TIMEVALUE(RIGHT(E34:K34,5))-TIMEVALUE(LEFT(E34:K34,5)),0))</f>
        <v>1.7708333333333335</v>
      </c>
      <c r="T34" s="3" cm="1">
        <f t="array" ref="T34">SUMPRODUCT(IFERROR(TIMEVALUE(RIGHT(L34:R34,5))-TIMEVALUE(LEFT(L34:R34,5)),0))</f>
        <v>1.7708333333333335</v>
      </c>
      <c r="AE34" s="2"/>
    </row>
    <row r="35" spans="1:31" s="9" customFormat="1">
      <c r="A35" s="15" t="s">
        <v>60</v>
      </c>
      <c r="B35" s="15">
        <v>3</v>
      </c>
      <c r="C35" s="16" t="s">
        <v>24</v>
      </c>
      <c r="D35" s="15"/>
      <c r="E35" s="16" t="s">
        <v>30</v>
      </c>
      <c r="F35" s="16" t="s">
        <v>30</v>
      </c>
      <c r="G35" s="16" t="s">
        <v>30</v>
      </c>
      <c r="H35" s="16" t="s">
        <v>30</v>
      </c>
      <c r="I35" s="16" t="s">
        <v>30</v>
      </c>
      <c r="J35" s="16" t="s">
        <v>9</v>
      </c>
      <c r="K35" s="16" t="s">
        <v>9</v>
      </c>
      <c r="L35" s="16" t="s">
        <v>30</v>
      </c>
      <c r="M35" s="16" t="s">
        <v>30</v>
      </c>
      <c r="N35" s="16" t="s">
        <v>30</v>
      </c>
      <c r="O35" s="16" t="s">
        <v>30</v>
      </c>
      <c r="P35" s="16" t="s">
        <v>30</v>
      </c>
      <c r="Q35" s="16" t="s">
        <v>9</v>
      </c>
      <c r="R35" s="16" t="s">
        <v>9</v>
      </c>
      <c r="S35" s="8" cm="1">
        <f t="array" ref="S35">SUMPRODUCT(IFERROR(TIMEVALUE(RIGHT(E35:K35,5))-TIMEVALUE(LEFT(E35:K35,5)),0))</f>
        <v>1.7708333333333335</v>
      </c>
      <c r="T35" s="3" cm="1">
        <f t="array" ref="T35">SUMPRODUCT(IFERROR(TIMEVALUE(RIGHT(L35:R35,5))-TIMEVALUE(LEFT(L35:R35,5)),0))</f>
        <v>1.7708333333333335</v>
      </c>
      <c r="AE35" s="2"/>
    </row>
    <row r="36" spans="1:31" s="9" customFormat="1">
      <c r="A36" s="15" t="s">
        <v>61</v>
      </c>
      <c r="B36" s="15">
        <v>3</v>
      </c>
      <c r="C36" s="16" t="s">
        <v>24</v>
      </c>
      <c r="D36" s="15"/>
      <c r="E36" s="16" t="s">
        <v>30</v>
      </c>
      <c r="F36" s="16" t="s">
        <v>30</v>
      </c>
      <c r="G36" s="16" t="s">
        <v>30</v>
      </c>
      <c r="H36" s="16" t="s">
        <v>9</v>
      </c>
      <c r="I36" s="16" t="s">
        <v>9</v>
      </c>
      <c r="J36" s="16" t="s">
        <v>30</v>
      </c>
      <c r="K36" s="16" t="s">
        <v>30</v>
      </c>
      <c r="L36" s="16" t="s">
        <v>30</v>
      </c>
      <c r="M36" s="16" t="s">
        <v>30</v>
      </c>
      <c r="N36" s="16" t="s">
        <v>30</v>
      </c>
      <c r="O36" s="16" t="s">
        <v>9</v>
      </c>
      <c r="P36" s="16" t="s">
        <v>9</v>
      </c>
      <c r="Q36" s="16" t="s">
        <v>30</v>
      </c>
      <c r="R36" s="16" t="s">
        <v>30</v>
      </c>
      <c r="S36" s="8" cm="1">
        <f t="array" ref="S36">SUMPRODUCT(IFERROR(TIMEVALUE(RIGHT(E36:K36,5))-TIMEVALUE(LEFT(E36:K36,5)),0))</f>
        <v>1.7708333333333335</v>
      </c>
      <c r="T36" s="3" cm="1">
        <f t="array" ref="T36">SUMPRODUCT(IFERROR(TIMEVALUE(RIGHT(L36:R36,5))-TIMEVALUE(LEFT(L36:R36,5)),0))</f>
        <v>1.7708333333333335</v>
      </c>
      <c r="AE36" s="2"/>
    </row>
    <row r="37" spans="1:31" s="9" customFormat="1">
      <c r="A37" s="15" t="s">
        <v>62</v>
      </c>
      <c r="B37" s="15">
        <v>3</v>
      </c>
      <c r="C37" s="16" t="s">
        <v>24</v>
      </c>
      <c r="D37" s="15"/>
      <c r="E37" s="16" t="s">
        <v>30</v>
      </c>
      <c r="F37" s="16" t="s">
        <v>30</v>
      </c>
      <c r="G37" s="16" t="s">
        <v>30</v>
      </c>
      <c r="H37" s="16" t="s">
        <v>30</v>
      </c>
      <c r="I37" s="16" t="s">
        <v>30</v>
      </c>
      <c r="J37" s="16" t="s">
        <v>9</v>
      </c>
      <c r="K37" s="16" t="s">
        <v>9</v>
      </c>
      <c r="L37" s="16" t="s">
        <v>30</v>
      </c>
      <c r="M37" s="16" t="s">
        <v>30</v>
      </c>
      <c r="N37" s="16" t="s">
        <v>30</v>
      </c>
      <c r="O37" s="16" t="s">
        <v>30</v>
      </c>
      <c r="P37" s="16" t="s">
        <v>30</v>
      </c>
      <c r="Q37" s="16" t="s">
        <v>9</v>
      </c>
      <c r="R37" s="16" t="s">
        <v>9</v>
      </c>
      <c r="S37" s="8" cm="1">
        <f t="array" ref="S37">SUMPRODUCT(IFERROR(TIMEVALUE(RIGHT(E37:K37,5))-TIMEVALUE(LEFT(E37:K37,5)),0))</f>
        <v>1.7708333333333335</v>
      </c>
      <c r="T37" s="3" cm="1">
        <f t="array" ref="T37">SUMPRODUCT(IFERROR(TIMEVALUE(RIGHT(L37:R37,5))-TIMEVALUE(LEFT(L37:R37,5)),0))</f>
        <v>1.7708333333333335</v>
      </c>
      <c r="AE37" s="2"/>
    </row>
    <row r="38" spans="1:31" s="9" customFormat="1">
      <c r="A38" s="15" t="s">
        <v>63</v>
      </c>
      <c r="B38" s="15">
        <v>3</v>
      </c>
      <c r="C38" s="16" t="s">
        <v>24</v>
      </c>
      <c r="D38" s="15"/>
      <c r="E38" s="16" t="s">
        <v>30</v>
      </c>
      <c r="F38" s="16" t="s">
        <v>30</v>
      </c>
      <c r="G38" s="16" t="s">
        <v>30</v>
      </c>
      <c r="H38" s="16" t="s">
        <v>30</v>
      </c>
      <c r="I38" s="16" t="s">
        <v>30</v>
      </c>
      <c r="J38" s="16" t="s">
        <v>9</v>
      </c>
      <c r="K38" s="16" t="s">
        <v>9</v>
      </c>
      <c r="L38" s="16" t="s">
        <v>30</v>
      </c>
      <c r="M38" s="16" t="s">
        <v>30</v>
      </c>
      <c r="N38" s="16" t="s">
        <v>30</v>
      </c>
      <c r="O38" s="16" t="s">
        <v>30</v>
      </c>
      <c r="P38" s="16" t="s">
        <v>30</v>
      </c>
      <c r="Q38" s="16" t="s">
        <v>9</v>
      </c>
      <c r="R38" s="16" t="s">
        <v>9</v>
      </c>
      <c r="S38" s="8" cm="1">
        <f t="array" ref="S38">SUMPRODUCT(IFERROR(TIMEVALUE(RIGHT(E38:K38,5))-TIMEVALUE(LEFT(E38:K38,5)),0))</f>
        <v>1.7708333333333335</v>
      </c>
      <c r="T38" s="3" cm="1">
        <f t="array" ref="T38">SUMPRODUCT(IFERROR(TIMEVALUE(RIGHT(L38:R38,5))-TIMEVALUE(LEFT(L38:R38,5)),0))</f>
        <v>1.7708333333333335</v>
      </c>
      <c r="AE38" s="2"/>
    </row>
    <row r="39" spans="1:31" s="9" customFormat="1">
      <c r="A39" s="15" t="s">
        <v>64</v>
      </c>
      <c r="B39" s="15">
        <v>3</v>
      </c>
      <c r="C39" s="16" t="s">
        <v>24</v>
      </c>
      <c r="D39" s="15"/>
      <c r="E39" s="16" t="s">
        <v>30</v>
      </c>
      <c r="F39" s="16" t="s">
        <v>9</v>
      </c>
      <c r="G39" s="16" t="s">
        <v>9</v>
      </c>
      <c r="H39" s="16" t="s">
        <v>30</v>
      </c>
      <c r="I39" s="16" t="s">
        <v>30</v>
      </c>
      <c r="J39" s="16" t="s">
        <v>30</v>
      </c>
      <c r="K39" s="16" t="s">
        <v>30</v>
      </c>
      <c r="L39" s="16" t="s">
        <v>30</v>
      </c>
      <c r="M39" s="16" t="s">
        <v>9</v>
      </c>
      <c r="N39" s="16" t="s">
        <v>9</v>
      </c>
      <c r="O39" s="16" t="s">
        <v>30</v>
      </c>
      <c r="P39" s="16" t="s">
        <v>30</v>
      </c>
      <c r="Q39" s="16" t="s">
        <v>30</v>
      </c>
      <c r="R39" s="16" t="s">
        <v>30</v>
      </c>
      <c r="S39" s="8" cm="1">
        <f t="array" ref="S39">SUMPRODUCT(IFERROR(TIMEVALUE(RIGHT(E39:K39,5))-TIMEVALUE(LEFT(E39:K39,5)),0))</f>
        <v>1.7708333333333335</v>
      </c>
      <c r="T39" s="3" cm="1">
        <f t="array" ref="T39">SUMPRODUCT(IFERROR(TIMEVALUE(RIGHT(L39:R39,5))-TIMEVALUE(LEFT(L39:R39,5)),0))</f>
        <v>1.7708333333333335</v>
      </c>
      <c r="AE39" s="2"/>
    </row>
    <row r="40" spans="1:31" s="9" customFormat="1">
      <c r="A40" s="15" t="s">
        <v>65</v>
      </c>
      <c r="B40" s="15">
        <v>3</v>
      </c>
      <c r="C40" s="16" t="s">
        <v>24</v>
      </c>
      <c r="D40" s="15"/>
      <c r="E40" s="16" t="s">
        <v>30</v>
      </c>
      <c r="F40" s="16" t="s">
        <v>30</v>
      </c>
      <c r="G40" s="16" t="s">
        <v>30</v>
      </c>
      <c r="H40" s="16" t="s">
        <v>30</v>
      </c>
      <c r="I40" s="16" t="s">
        <v>30</v>
      </c>
      <c r="J40" s="16" t="s">
        <v>9</v>
      </c>
      <c r="K40" s="16" t="s">
        <v>9</v>
      </c>
      <c r="L40" s="16" t="s">
        <v>30</v>
      </c>
      <c r="M40" s="16" t="s">
        <v>30</v>
      </c>
      <c r="N40" s="16" t="s">
        <v>30</v>
      </c>
      <c r="O40" s="16" t="s">
        <v>30</v>
      </c>
      <c r="P40" s="16" t="s">
        <v>30</v>
      </c>
      <c r="Q40" s="16" t="s">
        <v>9</v>
      </c>
      <c r="R40" s="16" t="s">
        <v>9</v>
      </c>
      <c r="S40" s="8" cm="1">
        <f t="array" ref="S40">SUMPRODUCT(IFERROR(TIMEVALUE(RIGHT(E40:K40,5))-TIMEVALUE(LEFT(E40:K40,5)),0))</f>
        <v>1.7708333333333335</v>
      </c>
      <c r="T40" s="3" cm="1">
        <f t="array" ref="T40">SUMPRODUCT(IFERROR(TIMEVALUE(RIGHT(L40:R40,5))-TIMEVALUE(LEFT(L40:R40,5)),0))</f>
        <v>1.7708333333333335</v>
      </c>
      <c r="AE40" s="2"/>
    </row>
    <row r="41" spans="1:31" s="9" customFormat="1">
      <c r="A41" s="15" t="s">
        <v>66</v>
      </c>
      <c r="B41" s="15">
        <v>3</v>
      </c>
      <c r="C41" s="16" t="s">
        <v>24</v>
      </c>
      <c r="D41" s="15"/>
      <c r="E41" s="16" t="s">
        <v>12</v>
      </c>
      <c r="F41" s="16" t="s">
        <v>12</v>
      </c>
      <c r="G41" s="16" t="s">
        <v>12</v>
      </c>
      <c r="H41" s="16" t="s">
        <v>12</v>
      </c>
      <c r="I41" s="16" t="s">
        <v>30</v>
      </c>
      <c r="J41" s="16" t="s">
        <v>9</v>
      </c>
      <c r="K41" s="16" t="s">
        <v>9</v>
      </c>
      <c r="L41" s="16" t="s">
        <v>30</v>
      </c>
      <c r="M41" s="16" t="s">
        <v>30</v>
      </c>
      <c r="N41" s="16" t="s">
        <v>30</v>
      </c>
      <c r="O41" s="16" t="s">
        <v>30</v>
      </c>
      <c r="P41" s="16" t="s">
        <v>30</v>
      </c>
      <c r="Q41" s="16" t="s">
        <v>9</v>
      </c>
      <c r="R41" s="16" t="s">
        <v>9</v>
      </c>
      <c r="S41" s="8" cm="1">
        <f t="array" ref="S41">SUMPRODUCT(IFERROR(TIMEVALUE(RIGHT(E41:K41,5))-TIMEVALUE(LEFT(E41:K41,5)),0))</f>
        <v>1.7708333333333333</v>
      </c>
      <c r="T41" s="3" cm="1">
        <f t="array" ref="T41">SUMPRODUCT(IFERROR(TIMEVALUE(RIGHT(L41:R41,5))-TIMEVALUE(LEFT(L41:R41,5)),0))</f>
        <v>1.7708333333333335</v>
      </c>
      <c r="AE41" s="2"/>
    </row>
    <row r="42" spans="1:31" s="9" customFormat="1">
      <c r="A42" s="15" t="s">
        <v>67</v>
      </c>
      <c r="B42" s="15">
        <v>3</v>
      </c>
      <c r="C42" s="16" t="s">
        <v>24</v>
      </c>
      <c r="D42" s="15"/>
      <c r="E42" s="16" t="s">
        <v>30</v>
      </c>
      <c r="F42" s="16" t="s">
        <v>30</v>
      </c>
      <c r="G42" s="16" t="s">
        <v>30</v>
      </c>
      <c r="H42" s="16" t="s">
        <v>30</v>
      </c>
      <c r="I42" s="16" t="s">
        <v>30</v>
      </c>
      <c r="J42" s="16" t="s">
        <v>9</v>
      </c>
      <c r="K42" s="16" t="s">
        <v>9</v>
      </c>
      <c r="L42" s="16" t="s">
        <v>30</v>
      </c>
      <c r="M42" s="16" t="s">
        <v>30</v>
      </c>
      <c r="N42" s="16" t="s">
        <v>30</v>
      </c>
      <c r="O42" s="16" t="s">
        <v>30</v>
      </c>
      <c r="P42" s="16" t="s">
        <v>30</v>
      </c>
      <c r="Q42" s="16" t="s">
        <v>9</v>
      </c>
      <c r="R42" s="16" t="s">
        <v>9</v>
      </c>
      <c r="S42" s="8" cm="1">
        <f t="array" ref="S42">SUMPRODUCT(IFERROR(TIMEVALUE(RIGHT(E42:K42,5))-TIMEVALUE(LEFT(E42:K42,5)),0))</f>
        <v>1.7708333333333335</v>
      </c>
      <c r="T42" s="3" cm="1">
        <f t="array" ref="T42">SUMPRODUCT(IFERROR(TIMEVALUE(RIGHT(L42:R42,5))-TIMEVALUE(LEFT(L42:R42,5)),0))</f>
        <v>1.7708333333333335</v>
      </c>
      <c r="AE42" s="2"/>
    </row>
    <row r="43" spans="1:31" s="9" customFormat="1">
      <c r="A43" s="15" t="s">
        <v>68</v>
      </c>
      <c r="B43" s="15">
        <v>3</v>
      </c>
      <c r="C43" s="16" t="s">
        <v>24</v>
      </c>
      <c r="D43" s="15"/>
      <c r="E43" s="16" t="s">
        <v>9</v>
      </c>
      <c r="F43" s="16" t="s">
        <v>9</v>
      </c>
      <c r="G43" s="16" t="s">
        <v>30</v>
      </c>
      <c r="H43" s="16" t="s">
        <v>30</v>
      </c>
      <c r="I43" s="16" t="s">
        <v>30</v>
      </c>
      <c r="J43" s="16" t="s">
        <v>30</v>
      </c>
      <c r="K43" s="16" t="s">
        <v>30</v>
      </c>
      <c r="L43" s="16" t="s">
        <v>9</v>
      </c>
      <c r="M43" s="16" t="s">
        <v>9</v>
      </c>
      <c r="N43" s="16" t="s">
        <v>30</v>
      </c>
      <c r="O43" s="16" t="s">
        <v>30</v>
      </c>
      <c r="P43" s="16" t="s">
        <v>30</v>
      </c>
      <c r="Q43" s="16" t="s">
        <v>30</v>
      </c>
      <c r="R43" s="16" t="s">
        <v>30</v>
      </c>
      <c r="S43" s="8" cm="1">
        <f t="array" ref="S43">SUMPRODUCT(IFERROR(TIMEVALUE(RIGHT(E43:K43,5))-TIMEVALUE(LEFT(E43:K43,5)),0))</f>
        <v>1.7708333333333335</v>
      </c>
      <c r="T43" s="3" cm="1">
        <f t="array" ref="T43">SUMPRODUCT(IFERROR(TIMEVALUE(RIGHT(L43:R43,5))-TIMEVALUE(LEFT(L43:R43,5)),0))</f>
        <v>1.7708333333333335</v>
      </c>
      <c r="AE43" s="2"/>
    </row>
    <row r="44" spans="1:31" s="9" customFormat="1">
      <c r="A44" s="15" t="s">
        <v>69</v>
      </c>
      <c r="B44" s="15">
        <v>3</v>
      </c>
      <c r="C44" s="16" t="s">
        <v>24</v>
      </c>
      <c r="D44" s="15"/>
      <c r="E44" s="16" t="s">
        <v>30</v>
      </c>
      <c r="F44" s="16" t="s">
        <v>30</v>
      </c>
      <c r="G44" s="16" t="s">
        <v>30</v>
      </c>
      <c r="H44" s="16" t="s">
        <v>30</v>
      </c>
      <c r="I44" s="16" t="s">
        <v>30</v>
      </c>
      <c r="J44" s="16" t="s">
        <v>9</v>
      </c>
      <c r="K44" s="16" t="s">
        <v>9</v>
      </c>
      <c r="L44" s="16" t="s">
        <v>30</v>
      </c>
      <c r="M44" s="16" t="s">
        <v>30</v>
      </c>
      <c r="N44" s="16" t="s">
        <v>30</v>
      </c>
      <c r="O44" s="16" t="s">
        <v>30</v>
      </c>
      <c r="P44" s="16" t="s">
        <v>30</v>
      </c>
      <c r="Q44" s="16" t="s">
        <v>9</v>
      </c>
      <c r="R44" s="16" t="s">
        <v>9</v>
      </c>
      <c r="S44" s="8" cm="1">
        <f t="array" ref="S44">SUMPRODUCT(IFERROR(TIMEVALUE(RIGHT(E44:K44,5))-TIMEVALUE(LEFT(E44:K44,5)),0))</f>
        <v>1.7708333333333335</v>
      </c>
      <c r="T44" s="3" cm="1">
        <f t="array" ref="T44">SUMPRODUCT(IFERROR(TIMEVALUE(RIGHT(L44:R44,5))-TIMEVALUE(LEFT(L44:R44,5)),0))</f>
        <v>1.7708333333333335</v>
      </c>
      <c r="AE44" s="2"/>
    </row>
    <row r="45" spans="1:31" s="9" customFormat="1">
      <c r="A45" s="15" t="s">
        <v>70</v>
      </c>
      <c r="B45" s="15">
        <v>3</v>
      </c>
      <c r="C45" s="16" t="s">
        <v>24</v>
      </c>
      <c r="D45" s="15"/>
      <c r="E45" s="16" t="s">
        <v>9</v>
      </c>
      <c r="F45" s="16" t="s">
        <v>30</v>
      </c>
      <c r="G45" s="16" t="s">
        <v>30</v>
      </c>
      <c r="H45" s="16" t="s">
        <v>30</v>
      </c>
      <c r="I45" s="16" t="s">
        <v>30</v>
      </c>
      <c r="J45" s="16" t="s">
        <v>30</v>
      </c>
      <c r="K45" s="16" t="s">
        <v>9</v>
      </c>
      <c r="L45" s="16" t="s">
        <v>9</v>
      </c>
      <c r="M45" s="16" t="s">
        <v>30</v>
      </c>
      <c r="N45" s="16" t="s">
        <v>30</v>
      </c>
      <c r="O45" s="16" t="s">
        <v>30</v>
      </c>
      <c r="P45" s="16" t="s">
        <v>30</v>
      </c>
      <c r="Q45" s="16" t="s">
        <v>30</v>
      </c>
      <c r="R45" s="16" t="s">
        <v>9</v>
      </c>
      <c r="S45" s="8" cm="1">
        <f t="array" ref="S45">SUMPRODUCT(IFERROR(TIMEVALUE(RIGHT(E45:K45,5))-TIMEVALUE(LEFT(E45:K45,5)),0))</f>
        <v>1.7708333333333335</v>
      </c>
      <c r="T45" s="3" cm="1">
        <f t="array" ref="T45">SUMPRODUCT(IFERROR(TIMEVALUE(RIGHT(L45:R45,5))-TIMEVALUE(LEFT(L45:R45,5)),0))</f>
        <v>1.7708333333333335</v>
      </c>
      <c r="AE45" s="2"/>
    </row>
    <row r="46" spans="1:31">
      <c r="A46" s="10" t="s">
        <v>71</v>
      </c>
      <c r="B46" s="10">
        <v>4</v>
      </c>
      <c r="C46" s="11" t="s">
        <v>43</v>
      </c>
      <c r="D46" s="10"/>
      <c r="E46" s="11" t="s">
        <v>8</v>
      </c>
      <c r="F46" s="11" t="s">
        <v>9</v>
      </c>
      <c r="G46" s="11" t="s">
        <v>9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9</v>
      </c>
      <c r="N46" s="11" t="s">
        <v>9</v>
      </c>
      <c r="O46" s="11" t="s">
        <v>8</v>
      </c>
      <c r="P46" s="11" t="s">
        <v>8</v>
      </c>
      <c r="Q46" s="11" t="s">
        <v>8</v>
      </c>
      <c r="R46" s="11" t="s">
        <v>8</v>
      </c>
      <c r="S46" s="8" cm="1">
        <f t="array" ref="S46">SUMPRODUCT(IFERROR(TIMEVALUE(RIGHT(E46:K46,5))-TIMEVALUE(LEFT(E46:K46,5)),0))</f>
        <v>1.7708333333333335</v>
      </c>
      <c r="T46" s="3" cm="1">
        <f t="array" ref="T46">SUMPRODUCT(IFERROR(TIMEVALUE(RIGHT(L46:R46,5))-TIMEVALUE(LEFT(L46:R46,5)),0))</f>
        <v>1.7708333333333335</v>
      </c>
    </row>
    <row r="47" spans="1:31">
      <c r="A47" s="10" t="s">
        <v>72</v>
      </c>
      <c r="B47" s="10">
        <v>4</v>
      </c>
      <c r="C47" s="11" t="s">
        <v>43</v>
      </c>
      <c r="D47" s="10"/>
      <c r="E47" s="11" t="s">
        <v>8</v>
      </c>
      <c r="F47" s="11" t="s">
        <v>8</v>
      </c>
      <c r="G47" s="11" t="s">
        <v>8</v>
      </c>
      <c r="H47" s="11" t="s">
        <v>8</v>
      </c>
      <c r="I47" s="11" t="s">
        <v>8</v>
      </c>
      <c r="J47" s="11" t="s">
        <v>9</v>
      </c>
      <c r="K47" s="11" t="s">
        <v>9</v>
      </c>
      <c r="L47" s="11" t="s">
        <v>8</v>
      </c>
      <c r="M47" s="11" t="s">
        <v>8</v>
      </c>
      <c r="N47" s="11" t="s">
        <v>8</v>
      </c>
      <c r="O47" s="11" t="s">
        <v>8</v>
      </c>
      <c r="P47" s="11" t="s">
        <v>8</v>
      </c>
      <c r="Q47" s="11" t="s">
        <v>9</v>
      </c>
      <c r="R47" s="11" t="s">
        <v>9</v>
      </c>
      <c r="S47" s="8" cm="1">
        <f t="array" ref="S47">SUMPRODUCT(IFERROR(TIMEVALUE(RIGHT(E47:K47,5))-TIMEVALUE(LEFT(E47:K47,5)),0))</f>
        <v>1.7708333333333335</v>
      </c>
      <c r="T47" s="3" cm="1">
        <f t="array" ref="T47">SUMPRODUCT(IFERROR(TIMEVALUE(RIGHT(L47:R47,5))-TIMEVALUE(LEFT(L47:R47,5)),0))</f>
        <v>1.7708333333333335</v>
      </c>
    </row>
    <row r="48" spans="1:31">
      <c r="A48" s="10" t="s">
        <v>73</v>
      </c>
      <c r="B48" s="10">
        <v>4</v>
      </c>
      <c r="C48" s="11" t="s">
        <v>43</v>
      </c>
      <c r="D48" s="10"/>
      <c r="E48" s="11" t="s">
        <v>8</v>
      </c>
      <c r="F48" s="11" t="s">
        <v>8</v>
      </c>
      <c r="G48" s="11" t="s">
        <v>8</v>
      </c>
      <c r="H48" s="11" t="s">
        <v>8</v>
      </c>
      <c r="I48" s="11" t="s">
        <v>8</v>
      </c>
      <c r="J48" s="11" t="s">
        <v>9</v>
      </c>
      <c r="K48" s="11" t="s">
        <v>9</v>
      </c>
      <c r="L48" s="11" t="s">
        <v>8</v>
      </c>
      <c r="M48" s="11" t="s">
        <v>8</v>
      </c>
      <c r="N48" s="11" t="s">
        <v>8</v>
      </c>
      <c r="O48" s="11" t="s">
        <v>8</v>
      </c>
      <c r="P48" s="11" t="s">
        <v>8</v>
      </c>
      <c r="Q48" s="11" t="s">
        <v>9</v>
      </c>
      <c r="R48" s="11" t="s">
        <v>9</v>
      </c>
      <c r="S48" s="8" cm="1">
        <f t="array" ref="S48">SUMPRODUCT(IFERROR(TIMEVALUE(RIGHT(E48:K48,5))-TIMEVALUE(LEFT(E48:K48,5)),0))</f>
        <v>1.7708333333333335</v>
      </c>
      <c r="T48" s="3" cm="1">
        <f t="array" ref="T48">SUMPRODUCT(IFERROR(TIMEVALUE(RIGHT(L48:R48,5))-TIMEVALUE(LEFT(L48:R48,5)),0))</f>
        <v>1.7708333333333335</v>
      </c>
    </row>
    <row r="49" spans="1:20">
      <c r="A49" s="10" t="s">
        <v>74</v>
      </c>
      <c r="B49" s="10">
        <v>4</v>
      </c>
      <c r="C49" s="11" t="s">
        <v>43</v>
      </c>
      <c r="D49" s="10"/>
      <c r="E49" s="11" t="s">
        <v>8</v>
      </c>
      <c r="F49" s="11" t="s">
        <v>8</v>
      </c>
      <c r="G49" s="11" t="s">
        <v>8</v>
      </c>
      <c r="H49" s="11" t="s">
        <v>8</v>
      </c>
      <c r="I49" s="11" t="s">
        <v>9</v>
      </c>
      <c r="J49" s="11" t="s">
        <v>9</v>
      </c>
      <c r="K49" s="11" t="s">
        <v>8</v>
      </c>
      <c r="L49" s="11" t="s">
        <v>8</v>
      </c>
      <c r="M49" s="11" t="s">
        <v>8</v>
      </c>
      <c r="N49" s="11" t="s">
        <v>8</v>
      </c>
      <c r="O49" s="11" t="s">
        <v>8</v>
      </c>
      <c r="P49" s="11" t="s">
        <v>9</v>
      </c>
      <c r="Q49" s="11" t="s">
        <v>9</v>
      </c>
      <c r="R49" s="11" t="s">
        <v>8</v>
      </c>
      <c r="S49" s="8" cm="1">
        <f t="array" ref="S49">SUMPRODUCT(IFERROR(TIMEVALUE(RIGHT(E49:K49,5))-TIMEVALUE(LEFT(E49:K49,5)),0))</f>
        <v>1.7708333333333335</v>
      </c>
      <c r="T49" s="3" cm="1">
        <f t="array" ref="T49">SUMPRODUCT(IFERROR(TIMEVALUE(RIGHT(L49:R49,5))-TIMEVALUE(LEFT(L49:R49,5)),0))</f>
        <v>1.7708333333333335</v>
      </c>
    </row>
    <row r="50" spans="1:20">
      <c r="A50" s="10" t="s">
        <v>75</v>
      </c>
      <c r="B50" s="10">
        <v>4</v>
      </c>
      <c r="C50" s="11" t="s">
        <v>43</v>
      </c>
      <c r="D50" s="10"/>
      <c r="E50" s="11" t="s">
        <v>8</v>
      </c>
      <c r="F50" s="11" t="s">
        <v>9</v>
      </c>
      <c r="G50" s="11" t="s">
        <v>9</v>
      </c>
      <c r="H50" s="11" t="s">
        <v>8</v>
      </c>
      <c r="I50" s="11" t="s">
        <v>8</v>
      </c>
      <c r="J50" s="11" t="s">
        <v>8</v>
      </c>
      <c r="K50" s="11" t="s">
        <v>8</v>
      </c>
      <c r="L50" s="11" t="s">
        <v>8</v>
      </c>
      <c r="M50" s="11" t="s">
        <v>9</v>
      </c>
      <c r="N50" s="11" t="s">
        <v>9</v>
      </c>
      <c r="O50" s="11" t="s">
        <v>8</v>
      </c>
      <c r="P50" s="11" t="s">
        <v>8</v>
      </c>
      <c r="Q50" s="11" t="s">
        <v>8</v>
      </c>
      <c r="R50" s="11" t="s">
        <v>8</v>
      </c>
      <c r="S50" s="8" cm="1">
        <f t="array" ref="S50">SUMPRODUCT(IFERROR(TIMEVALUE(RIGHT(E50:K50,5))-TIMEVALUE(LEFT(E50:K50,5)),0))</f>
        <v>1.7708333333333335</v>
      </c>
      <c r="T50" s="3" cm="1">
        <f t="array" ref="T50">SUMPRODUCT(IFERROR(TIMEVALUE(RIGHT(L50:R50,5))-TIMEVALUE(LEFT(L50:R50,5)),0))</f>
        <v>1.7708333333333335</v>
      </c>
    </row>
    <row r="51" spans="1:20">
      <c r="A51" s="10" t="s">
        <v>76</v>
      </c>
      <c r="B51" s="10">
        <v>4</v>
      </c>
      <c r="C51" s="11" t="s">
        <v>43</v>
      </c>
      <c r="D51" s="10"/>
      <c r="E51" s="11" t="s">
        <v>8</v>
      </c>
      <c r="F51" s="11" t="s">
        <v>8</v>
      </c>
      <c r="G51" s="11" t="s">
        <v>8</v>
      </c>
      <c r="H51" s="11" t="s">
        <v>8</v>
      </c>
      <c r="I51" s="11" t="s">
        <v>9</v>
      </c>
      <c r="J51" s="11" t="s">
        <v>9</v>
      </c>
      <c r="K51" s="11" t="s">
        <v>8</v>
      </c>
      <c r="L51" s="11" t="s">
        <v>8</v>
      </c>
      <c r="M51" s="11" t="s">
        <v>8</v>
      </c>
      <c r="N51" s="11" t="s">
        <v>8</v>
      </c>
      <c r="O51" s="11" t="s">
        <v>8</v>
      </c>
      <c r="P51" s="11" t="s">
        <v>9</v>
      </c>
      <c r="Q51" s="11" t="s">
        <v>9</v>
      </c>
      <c r="R51" s="11" t="s">
        <v>8</v>
      </c>
      <c r="S51" s="8" cm="1">
        <f t="array" ref="S51">SUMPRODUCT(IFERROR(TIMEVALUE(RIGHT(E51:K51,5))-TIMEVALUE(LEFT(E51:K51,5)),0))</f>
        <v>1.7708333333333335</v>
      </c>
      <c r="T51" s="3" cm="1">
        <f t="array" ref="T51">SUMPRODUCT(IFERROR(TIMEVALUE(RIGHT(L51:R51,5))-TIMEVALUE(LEFT(L51:R51,5)),0))</f>
        <v>1.7708333333333335</v>
      </c>
    </row>
    <row r="52" spans="1:20">
      <c r="A52" s="10" t="s">
        <v>77</v>
      </c>
      <c r="B52" s="10">
        <v>4</v>
      </c>
      <c r="C52" s="11" t="s">
        <v>43</v>
      </c>
      <c r="D52" s="10"/>
      <c r="E52" s="11" t="s">
        <v>8</v>
      </c>
      <c r="F52" s="11" t="s">
        <v>8</v>
      </c>
      <c r="G52" s="11" t="s">
        <v>8</v>
      </c>
      <c r="H52" s="11" t="s">
        <v>8</v>
      </c>
      <c r="I52" s="11" t="s">
        <v>9</v>
      </c>
      <c r="J52" s="11" t="s">
        <v>9</v>
      </c>
      <c r="K52" s="11" t="s">
        <v>8</v>
      </c>
      <c r="L52" s="11" t="s">
        <v>8</v>
      </c>
      <c r="M52" s="11" t="s">
        <v>8</v>
      </c>
      <c r="N52" s="11" t="s">
        <v>8</v>
      </c>
      <c r="O52" s="11" t="s">
        <v>8</v>
      </c>
      <c r="P52" s="11" t="s">
        <v>9</v>
      </c>
      <c r="Q52" s="11" t="s">
        <v>9</v>
      </c>
      <c r="R52" s="11" t="s">
        <v>8</v>
      </c>
      <c r="S52" s="8" cm="1">
        <f t="array" ref="S52">SUMPRODUCT(IFERROR(TIMEVALUE(RIGHT(E52:K52,5))-TIMEVALUE(LEFT(E52:K52,5)),0))</f>
        <v>1.7708333333333335</v>
      </c>
      <c r="T52" s="3" cm="1">
        <f t="array" ref="T52">SUMPRODUCT(IFERROR(TIMEVALUE(RIGHT(L52:R52,5))-TIMEVALUE(LEFT(L52:R52,5)),0))</f>
        <v>1.7708333333333335</v>
      </c>
    </row>
    <row r="53" spans="1:20">
      <c r="A53" s="10" t="s">
        <v>78</v>
      </c>
      <c r="B53" s="10">
        <v>4</v>
      </c>
      <c r="C53" s="11" t="s">
        <v>43</v>
      </c>
      <c r="D53" s="10"/>
      <c r="E53" s="11" t="s">
        <v>8</v>
      </c>
      <c r="F53" s="11" t="s">
        <v>8</v>
      </c>
      <c r="G53" s="11" t="s">
        <v>9</v>
      </c>
      <c r="H53" s="11" t="s">
        <v>9</v>
      </c>
      <c r="I53" s="11" t="s">
        <v>8</v>
      </c>
      <c r="J53" s="11" t="s">
        <v>8</v>
      </c>
      <c r="K53" s="11" t="s">
        <v>8</v>
      </c>
      <c r="L53" s="11" t="s">
        <v>8</v>
      </c>
      <c r="M53" s="11" t="s">
        <v>8</v>
      </c>
      <c r="N53" s="11" t="s">
        <v>9</v>
      </c>
      <c r="O53" s="11" t="s">
        <v>9</v>
      </c>
      <c r="P53" s="11" t="s">
        <v>8</v>
      </c>
      <c r="Q53" s="11" t="s">
        <v>8</v>
      </c>
      <c r="R53" s="11" t="s">
        <v>8</v>
      </c>
      <c r="S53" s="8" cm="1">
        <f t="array" ref="S53">SUMPRODUCT(IFERROR(TIMEVALUE(RIGHT(E53:K53,5))-TIMEVALUE(LEFT(E53:K53,5)),0))</f>
        <v>1.7708333333333335</v>
      </c>
      <c r="T53" s="3" cm="1">
        <f t="array" ref="T53">SUMPRODUCT(IFERROR(TIMEVALUE(RIGHT(L53:R53,5))-TIMEVALUE(LEFT(L53:R53,5)),0))</f>
        <v>1.7708333333333335</v>
      </c>
    </row>
    <row r="54" spans="1:20">
      <c r="A54" s="10" t="s">
        <v>79</v>
      </c>
      <c r="B54" s="10">
        <v>4</v>
      </c>
      <c r="C54" s="11" t="s">
        <v>43</v>
      </c>
      <c r="D54" s="10"/>
      <c r="E54" s="11" t="s">
        <v>8</v>
      </c>
      <c r="F54" s="11" t="s">
        <v>8</v>
      </c>
      <c r="G54" s="11" t="s">
        <v>8</v>
      </c>
      <c r="H54" s="11" t="s">
        <v>9</v>
      </c>
      <c r="I54" s="11" t="s">
        <v>9</v>
      </c>
      <c r="J54" s="11" t="s">
        <v>8</v>
      </c>
      <c r="K54" s="11" t="s">
        <v>8</v>
      </c>
      <c r="L54" s="11" t="s">
        <v>8</v>
      </c>
      <c r="M54" s="11" t="s">
        <v>8</v>
      </c>
      <c r="N54" s="11" t="s">
        <v>8</v>
      </c>
      <c r="O54" s="11" t="s">
        <v>9</v>
      </c>
      <c r="P54" s="11" t="s">
        <v>9</v>
      </c>
      <c r="Q54" s="11" t="s">
        <v>8</v>
      </c>
      <c r="R54" s="11" t="s">
        <v>8</v>
      </c>
      <c r="S54" s="8" cm="1">
        <f t="array" ref="S54">SUMPRODUCT(IFERROR(TIMEVALUE(RIGHT(E54:K54,5))-TIMEVALUE(LEFT(E54:K54,5)),0))</f>
        <v>1.7708333333333335</v>
      </c>
      <c r="T54" s="3" cm="1">
        <f t="array" ref="T54">SUMPRODUCT(IFERROR(TIMEVALUE(RIGHT(L54:R54,5))-TIMEVALUE(LEFT(L54:R54,5)),0))</f>
        <v>1.7708333333333335</v>
      </c>
    </row>
    <row r="55" spans="1:20">
      <c r="A55" s="10" t="s">
        <v>80</v>
      </c>
      <c r="B55" s="10">
        <v>4</v>
      </c>
      <c r="C55" s="11" t="s">
        <v>43</v>
      </c>
      <c r="D55" s="10"/>
      <c r="E55" s="11" t="s">
        <v>8</v>
      </c>
      <c r="F55" s="11" t="s">
        <v>8</v>
      </c>
      <c r="G55" s="11" t="s">
        <v>8</v>
      </c>
      <c r="H55" s="11" t="s">
        <v>8</v>
      </c>
      <c r="I55" s="11" t="s">
        <v>8</v>
      </c>
      <c r="J55" s="11" t="s">
        <v>9</v>
      </c>
      <c r="K55" s="11" t="s">
        <v>9</v>
      </c>
      <c r="L55" s="11" t="s">
        <v>8</v>
      </c>
      <c r="M55" s="11" t="s">
        <v>8</v>
      </c>
      <c r="N55" s="11" t="s">
        <v>8</v>
      </c>
      <c r="O55" s="11" t="s">
        <v>8</v>
      </c>
      <c r="P55" s="11" t="s">
        <v>8</v>
      </c>
      <c r="Q55" s="11" t="s">
        <v>9</v>
      </c>
      <c r="R55" s="11" t="s">
        <v>9</v>
      </c>
      <c r="S55" s="8" cm="1">
        <f t="array" ref="S55">SUMPRODUCT(IFERROR(TIMEVALUE(RIGHT(E55:K55,5))-TIMEVALUE(LEFT(E55:K55,5)),0))</f>
        <v>1.7708333333333335</v>
      </c>
      <c r="T55" s="3" cm="1">
        <f t="array" ref="T55">SUMPRODUCT(IFERROR(TIMEVALUE(RIGHT(L55:R55,5))-TIMEVALUE(LEFT(L55:R55,5)),0))</f>
        <v>1.7708333333333335</v>
      </c>
    </row>
    <row r="56" spans="1:20">
      <c r="A56" s="10" t="s">
        <v>81</v>
      </c>
      <c r="B56" s="10">
        <v>4</v>
      </c>
      <c r="C56" s="11" t="s">
        <v>43</v>
      </c>
      <c r="D56" s="10"/>
      <c r="E56" s="11" t="s">
        <v>8</v>
      </c>
      <c r="F56" s="11" t="s">
        <v>9</v>
      </c>
      <c r="G56" s="11" t="s">
        <v>9</v>
      </c>
      <c r="H56" s="11" t="s">
        <v>8</v>
      </c>
      <c r="I56" s="11" t="s">
        <v>8</v>
      </c>
      <c r="J56" s="11" t="s">
        <v>8</v>
      </c>
      <c r="K56" s="11" t="s">
        <v>8</v>
      </c>
      <c r="L56" s="11" t="s">
        <v>8</v>
      </c>
      <c r="M56" s="11" t="s">
        <v>9</v>
      </c>
      <c r="N56" s="11" t="s">
        <v>9</v>
      </c>
      <c r="O56" s="11" t="s">
        <v>8</v>
      </c>
      <c r="P56" s="11" t="s">
        <v>8</v>
      </c>
      <c r="Q56" s="11" t="s">
        <v>8</v>
      </c>
      <c r="R56" s="11" t="s">
        <v>8</v>
      </c>
      <c r="S56" s="8" cm="1">
        <f t="array" ref="S56">SUMPRODUCT(IFERROR(TIMEVALUE(RIGHT(E56:K56,5))-TIMEVALUE(LEFT(E56:K56,5)),0))</f>
        <v>1.7708333333333335</v>
      </c>
      <c r="T56" s="3" cm="1">
        <f t="array" ref="T56">SUMPRODUCT(IFERROR(TIMEVALUE(RIGHT(L56:R56,5))-TIMEVALUE(LEFT(L56:R56,5)),0))</f>
        <v>1.7708333333333335</v>
      </c>
    </row>
    <row r="57" spans="1:20">
      <c r="A57" s="10" t="s">
        <v>82</v>
      </c>
      <c r="B57" s="10">
        <v>4</v>
      </c>
      <c r="C57" s="11" t="s">
        <v>43</v>
      </c>
      <c r="D57" s="10"/>
      <c r="E57" s="11" t="s">
        <v>8</v>
      </c>
      <c r="F57" s="11" t="s">
        <v>8</v>
      </c>
      <c r="G57" s="11" t="s">
        <v>8</v>
      </c>
      <c r="H57" s="11" t="s">
        <v>8</v>
      </c>
      <c r="I57" s="11" t="s">
        <v>9</v>
      </c>
      <c r="J57" s="11" t="s">
        <v>9</v>
      </c>
      <c r="K57" s="11" t="s">
        <v>8</v>
      </c>
      <c r="L57" s="11" t="s">
        <v>8</v>
      </c>
      <c r="M57" s="11" t="s">
        <v>8</v>
      </c>
      <c r="N57" s="11" t="s">
        <v>8</v>
      </c>
      <c r="O57" s="11" t="s">
        <v>8</v>
      </c>
      <c r="P57" s="11" t="s">
        <v>9</v>
      </c>
      <c r="Q57" s="11" t="s">
        <v>9</v>
      </c>
      <c r="R57" s="11" t="s">
        <v>8</v>
      </c>
      <c r="S57" s="8" cm="1">
        <f t="array" ref="S57">SUMPRODUCT(IFERROR(TIMEVALUE(RIGHT(E57:K57,5))-TIMEVALUE(LEFT(E57:K57,5)),0))</f>
        <v>1.7708333333333335</v>
      </c>
      <c r="T57" s="3" cm="1">
        <f t="array" ref="T57">SUMPRODUCT(IFERROR(TIMEVALUE(RIGHT(L57:R57,5))-TIMEVALUE(LEFT(L57:R57,5)),0))</f>
        <v>1.7708333333333335</v>
      </c>
    </row>
    <row r="58" spans="1:20">
      <c r="A58" s="10" t="s">
        <v>83</v>
      </c>
      <c r="B58" s="10">
        <v>4</v>
      </c>
      <c r="C58" s="11" t="s">
        <v>43</v>
      </c>
      <c r="D58" s="10"/>
      <c r="E58" s="11" t="s">
        <v>84</v>
      </c>
      <c r="F58" s="11" t="s">
        <v>84</v>
      </c>
      <c r="G58" s="11" t="s">
        <v>84</v>
      </c>
      <c r="H58" s="11" t="s">
        <v>84</v>
      </c>
      <c r="I58" s="11" t="s">
        <v>9</v>
      </c>
      <c r="J58" s="11" t="s">
        <v>9</v>
      </c>
      <c r="K58" s="11" t="s">
        <v>84</v>
      </c>
      <c r="L58" s="11" t="s">
        <v>84</v>
      </c>
      <c r="M58" s="11" t="s">
        <v>84</v>
      </c>
      <c r="N58" s="11" t="s">
        <v>84</v>
      </c>
      <c r="O58" s="11" t="s">
        <v>84</v>
      </c>
      <c r="P58" s="11" t="s">
        <v>9</v>
      </c>
      <c r="Q58" s="11" t="s">
        <v>9</v>
      </c>
      <c r="R58" s="11" t="s">
        <v>84</v>
      </c>
      <c r="S58" s="8" cm="1">
        <f t="array" ref="S58">SUMPRODUCT(IFERROR(TIMEVALUE(RIGHT(E58:K58,5))-TIMEVALUE(LEFT(E58:K58,5)),0))</f>
        <v>1.7708333333333335</v>
      </c>
      <c r="T58" s="3" cm="1">
        <f t="array" ref="T58">SUMPRODUCT(IFERROR(TIMEVALUE(RIGHT(L58:R58,5))-TIMEVALUE(LEFT(L58:R58,5)),0))</f>
        <v>1.7708333333333335</v>
      </c>
    </row>
    <row r="59" spans="1:20">
      <c r="A59" s="10" t="s">
        <v>85</v>
      </c>
      <c r="B59" s="10">
        <v>4</v>
      </c>
      <c r="C59" s="11" t="s">
        <v>43</v>
      </c>
      <c r="D59" s="10"/>
      <c r="E59" s="11" t="s">
        <v>30</v>
      </c>
      <c r="F59" s="11" t="s">
        <v>30</v>
      </c>
      <c r="G59" s="11" t="s">
        <v>30</v>
      </c>
      <c r="H59" s="11" t="s">
        <v>30</v>
      </c>
      <c r="I59" s="11" t="s">
        <v>30</v>
      </c>
      <c r="J59" s="11" t="s">
        <v>9</v>
      </c>
      <c r="K59" s="11" t="s">
        <v>9</v>
      </c>
      <c r="L59" s="11" t="s">
        <v>30</v>
      </c>
      <c r="M59" s="11" t="s">
        <v>30</v>
      </c>
      <c r="N59" s="11" t="s">
        <v>30</v>
      </c>
      <c r="O59" s="11" t="s">
        <v>30</v>
      </c>
      <c r="P59" s="11" t="s">
        <v>30</v>
      </c>
      <c r="Q59" s="11" t="s">
        <v>9</v>
      </c>
      <c r="R59" s="11" t="s">
        <v>9</v>
      </c>
      <c r="S59" s="8" cm="1">
        <f t="array" ref="S59">SUMPRODUCT(IFERROR(TIMEVALUE(RIGHT(E59:K59,5))-TIMEVALUE(LEFT(E59:K59,5)),0))</f>
        <v>1.7708333333333335</v>
      </c>
      <c r="T59" s="3" cm="1">
        <f t="array" ref="T59">SUMPRODUCT(IFERROR(TIMEVALUE(RIGHT(L59:R59,5))-TIMEVALUE(LEFT(L59:R59,5)),0))</f>
        <v>1.7708333333333335</v>
      </c>
    </row>
    <row r="60" spans="1:20">
      <c r="A60" s="10" t="s">
        <v>86</v>
      </c>
      <c r="B60" s="10">
        <v>4</v>
      </c>
      <c r="C60" s="11" t="s">
        <v>43</v>
      </c>
      <c r="D60" s="10"/>
      <c r="E60" s="11" t="s">
        <v>12</v>
      </c>
      <c r="F60" s="11" t="s">
        <v>12</v>
      </c>
      <c r="G60" s="11" t="s">
        <v>12</v>
      </c>
      <c r="H60" s="11" t="s">
        <v>12</v>
      </c>
      <c r="I60" s="11" t="s">
        <v>9</v>
      </c>
      <c r="J60" s="11" t="s">
        <v>9</v>
      </c>
      <c r="K60" s="11" t="s">
        <v>12</v>
      </c>
      <c r="L60" s="11" t="s">
        <v>12</v>
      </c>
      <c r="M60" s="11" t="s">
        <v>12</v>
      </c>
      <c r="N60" s="11" t="s">
        <v>12</v>
      </c>
      <c r="O60" s="11" t="s">
        <v>12</v>
      </c>
      <c r="P60" s="11" t="s">
        <v>9</v>
      </c>
      <c r="Q60" s="11" t="s">
        <v>9</v>
      </c>
      <c r="R60" s="11" t="s">
        <v>12</v>
      </c>
      <c r="S60" s="8" cm="1">
        <f t="array" ref="S60">SUMPRODUCT(IFERROR(TIMEVALUE(RIGHT(E60:K60,5))-TIMEVALUE(LEFT(E60:K60,5)),0))</f>
        <v>1.770833333333333</v>
      </c>
      <c r="T60" s="3" cm="1">
        <f t="array" ref="T60">SUMPRODUCT(IFERROR(TIMEVALUE(RIGHT(L60:R60,5))-TIMEVALUE(LEFT(L60:R60,5)),0))</f>
        <v>1.770833333333333</v>
      </c>
    </row>
    <row r="61" spans="1:20">
      <c r="A61" s="10" t="s">
        <v>87</v>
      </c>
      <c r="B61" s="10">
        <v>5</v>
      </c>
      <c r="C61" s="11" t="s">
        <v>31</v>
      </c>
      <c r="D61" s="10"/>
      <c r="E61" s="11" t="s">
        <v>8</v>
      </c>
      <c r="F61" s="11" t="s">
        <v>8</v>
      </c>
      <c r="G61" s="11" t="s">
        <v>8</v>
      </c>
      <c r="H61" s="11" t="s">
        <v>8</v>
      </c>
      <c r="I61" s="11" t="s">
        <v>8</v>
      </c>
      <c r="J61" s="11" t="s">
        <v>9</v>
      </c>
      <c r="K61" s="11" t="s">
        <v>9</v>
      </c>
      <c r="L61" s="11" t="s">
        <v>8</v>
      </c>
      <c r="M61" s="11" t="s">
        <v>8</v>
      </c>
      <c r="N61" s="11" t="s">
        <v>8</v>
      </c>
      <c r="O61" s="11" t="s">
        <v>8</v>
      </c>
      <c r="P61" s="11" t="s">
        <v>8</v>
      </c>
      <c r="Q61" s="11" t="s">
        <v>9</v>
      </c>
      <c r="R61" s="11" t="s">
        <v>9</v>
      </c>
      <c r="S61" s="8" cm="1">
        <f t="array" ref="S61">SUMPRODUCT(IFERROR(TIMEVALUE(RIGHT(E61:K61,5))-TIMEVALUE(LEFT(E61:K61,5)),0))</f>
        <v>1.7708333333333335</v>
      </c>
      <c r="T61" s="3" cm="1">
        <f t="array" ref="T61">SUMPRODUCT(IFERROR(TIMEVALUE(RIGHT(L61:R61,5))-TIMEVALUE(LEFT(L61:R61,5)),0))</f>
        <v>1.7708333333333335</v>
      </c>
    </row>
    <row r="62" spans="1:20">
      <c r="A62" s="10" t="s">
        <v>88</v>
      </c>
      <c r="B62" s="10">
        <v>5</v>
      </c>
      <c r="C62" s="11" t="s">
        <v>31</v>
      </c>
      <c r="D62" s="10"/>
      <c r="E62" s="11" t="s">
        <v>8</v>
      </c>
      <c r="F62" s="11" t="s">
        <v>8</v>
      </c>
      <c r="G62" s="11" t="s">
        <v>8</v>
      </c>
      <c r="H62" s="11" t="s">
        <v>8</v>
      </c>
      <c r="I62" s="11" t="s">
        <v>8</v>
      </c>
      <c r="J62" s="11" t="s">
        <v>9</v>
      </c>
      <c r="K62" s="11" t="s">
        <v>9</v>
      </c>
      <c r="L62" s="11" t="s">
        <v>8</v>
      </c>
      <c r="M62" s="11" t="s">
        <v>8</v>
      </c>
      <c r="N62" s="11" t="s">
        <v>8</v>
      </c>
      <c r="O62" s="11" t="s">
        <v>8</v>
      </c>
      <c r="P62" s="11" t="s">
        <v>8</v>
      </c>
      <c r="Q62" s="11" t="s">
        <v>9</v>
      </c>
      <c r="R62" s="11" t="s">
        <v>9</v>
      </c>
      <c r="S62" s="8" cm="1">
        <f t="array" ref="S62">SUMPRODUCT(IFERROR(TIMEVALUE(RIGHT(E62:K62,5))-TIMEVALUE(LEFT(E62:K62,5)),0))</f>
        <v>1.7708333333333335</v>
      </c>
      <c r="T62" s="3" cm="1">
        <f t="array" ref="T62">SUMPRODUCT(IFERROR(TIMEVALUE(RIGHT(L62:R62,5))-TIMEVALUE(LEFT(L62:R62,5)),0))</f>
        <v>1.7708333333333335</v>
      </c>
    </row>
    <row r="63" spans="1:20">
      <c r="A63" s="10" t="s">
        <v>89</v>
      </c>
      <c r="B63" s="10">
        <v>5</v>
      </c>
      <c r="C63" s="11" t="s">
        <v>31</v>
      </c>
      <c r="D63" s="10"/>
      <c r="E63" s="11" t="s">
        <v>30</v>
      </c>
      <c r="F63" s="11" t="s">
        <v>30</v>
      </c>
      <c r="G63" s="11" t="s">
        <v>30</v>
      </c>
      <c r="H63" s="11" t="s">
        <v>9</v>
      </c>
      <c r="I63" s="11" t="s">
        <v>30</v>
      </c>
      <c r="J63" s="11" t="s">
        <v>30</v>
      </c>
      <c r="K63" s="11" t="s">
        <v>9</v>
      </c>
      <c r="L63" s="11" t="s">
        <v>30</v>
      </c>
      <c r="M63" s="11" t="s">
        <v>30</v>
      </c>
      <c r="N63" s="11" t="s">
        <v>30</v>
      </c>
      <c r="O63" s="11" t="s">
        <v>30</v>
      </c>
      <c r="P63" s="11" t="s">
        <v>30</v>
      </c>
      <c r="Q63" s="11" t="s">
        <v>9</v>
      </c>
      <c r="R63" s="11" t="s">
        <v>9</v>
      </c>
      <c r="S63" s="8" cm="1">
        <f t="array" ref="S63">SUMPRODUCT(IFERROR(TIMEVALUE(RIGHT(E63:K63,5))-TIMEVALUE(LEFT(E63:K63,5)),0))</f>
        <v>1.7708333333333335</v>
      </c>
      <c r="T63" s="3" cm="1">
        <f t="array" ref="T63">SUMPRODUCT(IFERROR(TIMEVALUE(RIGHT(L63:R63,5))-TIMEVALUE(LEFT(L63:R63,5)),0))</f>
        <v>1.7708333333333335</v>
      </c>
    </row>
    <row r="64" spans="1:20">
      <c r="A64" s="10" t="s">
        <v>90</v>
      </c>
      <c r="B64" s="10">
        <v>5</v>
      </c>
      <c r="C64" s="11" t="s">
        <v>31</v>
      </c>
      <c r="D64" s="10"/>
      <c r="E64" s="11" t="s">
        <v>12</v>
      </c>
      <c r="F64" s="11" t="s">
        <v>12</v>
      </c>
      <c r="G64" s="11" t="s">
        <v>12</v>
      </c>
      <c r="H64" s="11" t="s">
        <v>12</v>
      </c>
      <c r="I64" s="11" t="s">
        <v>9</v>
      </c>
      <c r="J64" s="11" t="s">
        <v>9</v>
      </c>
      <c r="K64" s="11" t="s">
        <v>12</v>
      </c>
      <c r="L64" s="11" t="s">
        <v>12</v>
      </c>
      <c r="M64" s="11" t="s">
        <v>12</v>
      </c>
      <c r="N64" s="11" t="s">
        <v>12</v>
      </c>
      <c r="O64" s="11" t="s">
        <v>12</v>
      </c>
      <c r="P64" s="11" t="s">
        <v>9</v>
      </c>
      <c r="Q64" s="11" t="s">
        <v>9</v>
      </c>
      <c r="R64" s="11" t="s">
        <v>12</v>
      </c>
      <c r="S64" s="8" cm="1">
        <f t="array" ref="S64">SUMPRODUCT(IFERROR(TIMEVALUE(RIGHT(E64:K64,5))-TIMEVALUE(LEFT(E64:K64,5)),0))</f>
        <v>1.770833333333333</v>
      </c>
      <c r="T64" s="3" cm="1">
        <f t="array" ref="T64">SUMPRODUCT(IFERROR(TIMEVALUE(RIGHT(L64:R64,5))-TIMEVALUE(LEFT(L64:R64,5)),0))</f>
        <v>1.770833333333333</v>
      </c>
    </row>
    <row r="65" spans="1:20">
      <c r="A65" s="10" t="s">
        <v>91</v>
      </c>
      <c r="B65" s="10">
        <v>5</v>
      </c>
      <c r="C65" s="11" t="s">
        <v>31</v>
      </c>
      <c r="D65" s="10"/>
      <c r="E65" s="11" t="s">
        <v>9</v>
      </c>
      <c r="F65" s="11" t="s">
        <v>9</v>
      </c>
      <c r="G65" s="11" t="s">
        <v>12</v>
      </c>
      <c r="H65" s="11" t="s">
        <v>12</v>
      </c>
      <c r="I65" s="11" t="s">
        <v>12</v>
      </c>
      <c r="J65" s="11" t="s">
        <v>12</v>
      </c>
      <c r="K65" s="11" t="s">
        <v>12</v>
      </c>
      <c r="L65" s="11" t="s">
        <v>9</v>
      </c>
      <c r="M65" s="11" t="s">
        <v>9</v>
      </c>
      <c r="N65" s="11" t="s">
        <v>12</v>
      </c>
      <c r="O65" s="11" t="s">
        <v>12</v>
      </c>
      <c r="P65" s="11" t="s">
        <v>12</v>
      </c>
      <c r="Q65" s="11" t="s">
        <v>12</v>
      </c>
      <c r="R65" s="11" t="s">
        <v>12</v>
      </c>
      <c r="S65" s="8" cm="1">
        <f t="array" ref="S65">SUMPRODUCT(IFERROR(TIMEVALUE(RIGHT(E65:K65,5))-TIMEVALUE(LEFT(E65:K65,5)),0))</f>
        <v>1.770833333333333</v>
      </c>
      <c r="T65" s="3" cm="1">
        <f t="array" ref="T65">SUMPRODUCT(IFERROR(TIMEVALUE(RIGHT(L65:R65,5))-TIMEVALUE(LEFT(L65:R65,5)),0))</f>
        <v>1.770833333333333</v>
      </c>
    </row>
    <row r="66" spans="1:20">
      <c r="A66" s="10" t="s">
        <v>92</v>
      </c>
      <c r="B66" s="10">
        <v>5</v>
      </c>
      <c r="C66" s="11" t="s">
        <v>31</v>
      </c>
      <c r="D66" s="10"/>
      <c r="E66" s="11" t="s">
        <v>12</v>
      </c>
      <c r="F66" s="11" t="s">
        <v>12</v>
      </c>
      <c r="G66" s="11" t="s">
        <v>12</v>
      </c>
      <c r="H66" s="11" t="s">
        <v>12</v>
      </c>
      <c r="I66" s="11" t="s">
        <v>12</v>
      </c>
      <c r="J66" s="11" t="s">
        <v>9</v>
      </c>
      <c r="K66" s="11" t="s">
        <v>9</v>
      </c>
      <c r="L66" s="11" t="s">
        <v>12</v>
      </c>
      <c r="M66" s="11" t="s">
        <v>12</v>
      </c>
      <c r="N66" s="11" t="s">
        <v>12</v>
      </c>
      <c r="O66" s="11" t="s">
        <v>12</v>
      </c>
      <c r="P66" s="11" t="s">
        <v>12</v>
      </c>
      <c r="Q66" s="11" t="s">
        <v>9</v>
      </c>
      <c r="R66" s="11" t="s">
        <v>9</v>
      </c>
      <c r="S66" s="8" cm="1">
        <f t="array" ref="S66">SUMPRODUCT(IFERROR(TIMEVALUE(RIGHT(E66:K66,5))-TIMEVALUE(LEFT(E66:K66,5)),0))</f>
        <v>1.770833333333333</v>
      </c>
      <c r="T66" s="3" cm="1">
        <f t="array" ref="T66">SUMPRODUCT(IFERROR(TIMEVALUE(RIGHT(L66:R66,5))-TIMEVALUE(LEFT(L66:R66,5)),0))</f>
        <v>1.770833333333333</v>
      </c>
    </row>
    <row r="67" spans="1:20">
      <c r="A67" s="10" t="s">
        <v>93</v>
      </c>
      <c r="B67" s="10">
        <v>5</v>
      </c>
      <c r="C67" s="11" t="s">
        <v>31</v>
      </c>
      <c r="D67" s="10"/>
      <c r="E67" s="11" t="s">
        <v>12</v>
      </c>
      <c r="F67" s="11" t="s">
        <v>12</v>
      </c>
      <c r="G67" s="11" t="s">
        <v>12</v>
      </c>
      <c r="H67" s="11" t="s">
        <v>12</v>
      </c>
      <c r="I67" s="11" t="s">
        <v>12</v>
      </c>
      <c r="J67" s="11" t="s">
        <v>9</v>
      </c>
      <c r="K67" s="11" t="s">
        <v>9</v>
      </c>
      <c r="L67" s="11" t="s">
        <v>12</v>
      </c>
      <c r="M67" s="11" t="s">
        <v>12</v>
      </c>
      <c r="N67" s="11" t="s">
        <v>12</v>
      </c>
      <c r="O67" s="11" t="s">
        <v>12</v>
      </c>
      <c r="P67" s="11" t="s">
        <v>12</v>
      </c>
      <c r="Q67" s="11" t="s">
        <v>9</v>
      </c>
      <c r="R67" s="11" t="s">
        <v>9</v>
      </c>
      <c r="S67" s="8" cm="1">
        <f t="array" ref="S67">SUMPRODUCT(IFERROR(TIMEVALUE(RIGHT(E67:K67,5))-TIMEVALUE(LEFT(E67:K67,5)),0))</f>
        <v>1.770833333333333</v>
      </c>
      <c r="T67" s="3" cm="1">
        <f t="array" ref="T67">SUMPRODUCT(IFERROR(TIMEVALUE(RIGHT(L67:R67,5))-TIMEVALUE(LEFT(L67:R67,5)),0))</f>
        <v>1.770833333333333</v>
      </c>
    </row>
    <row r="68" spans="1:20">
      <c r="A68" s="10" t="s">
        <v>94</v>
      </c>
      <c r="B68" s="10">
        <v>5</v>
      </c>
      <c r="C68" s="11" t="s">
        <v>31</v>
      </c>
      <c r="D68" s="10"/>
      <c r="E68" s="11" t="s">
        <v>9</v>
      </c>
      <c r="F68" s="11" t="s">
        <v>12</v>
      </c>
      <c r="G68" s="11" t="s">
        <v>12</v>
      </c>
      <c r="H68" s="11" t="s">
        <v>12</v>
      </c>
      <c r="I68" s="11" t="s">
        <v>12</v>
      </c>
      <c r="J68" s="11" t="s">
        <v>12</v>
      </c>
      <c r="K68" s="11" t="s">
        <v>9</v>
      </c>
      <c r="L68" s="11" t="s">
        <v>9</v>
      </c>
      <c r="M68" s="11" t="s">
        <v>12</v>
      </c>
      <c r="N68" s="11" t="s">
        <v>12</v>
      </c>
      <c r="O68" s="11" t="s">
        <v>12</v>
      </c>
      <c r="P68" s="11" t="s">
        <v>12</v>
      </c>
      <c r="Q68" s="11" t="s">
        <v>12</v>
      </c>
      <c r="R68" s="11" t="s">
        <v>9</v>
      </c>
      <c r="S68" s="8" cm="1">
        <f t="array" ref="S68">SUMPRODUCT(IFERROR(TIMEVALUE(RIGHT(E68:K68,5))-TIMEVALUE(LEFT(E68:K68,5)),0))</f>
        <v>1.770833333333333</v>
      </c>
      <c r="T68" s="3" cm="1">
        <f t="array" ref="T68">SUMPRODUCT(IFERROR(TIMEVALUE(RIGHT(L68:R68,5))-TIMEVALUE(LEFT(L68:R68,5)),0))</f>
        <v>1.770833333333333</v>
      </c>
    </row>
    <row r="69" spans="1:20">
      <c r="A69" s="10" t="s">
        <v>95</v>
      </c>
      <c r="B69" s="10">
        <v>5</v>
      </c>
      <c r="C69" s="11" t="s">
        <v>31</v>
      </c>
      <c r="D69" s="10"/>
      <c r="E69" s="11" t="s">
        <v>12</v>
      </c>
      <c r="F69" s="11" t="s">
        <v>12</v>
      </c>
      <c r="G69" s="11" t="s">
        <v>12</v>
      </c>
      <c r="H69" s="11" t="s">
        <v>12</v>
      </c>
      <c r="I69" s="11" t="s">
        <v>12</v>
      </c>
      <c r="J69" s="11" t="s">
        <v>9</v>
      </c>
      <c r="K69" s="11" t="s">
        <v>9</v>
      </c>
      <c r="L69" s="11" t="s">
        <v>9</v>
      </c>
      <c r="M69" s="11" t="s">
        <v>12</v>
      </c>
      <c r="N69" s="11" t="s">
        <v>12</v>
      </c>
      <c r="O69" s="11" t="s">
        <v>12</v>
      </c>
      <c r="P69" s="11" t="s">
        <v>12</v>
      </c>
      <c r="Q69" s="11" t="s">
        <v>12</v>
      </c>
      <c r="R69" s="11" t="s">
        <v>9</v>
      </c>
      <c r="S69" s="8" cm="1">
        <f t="array" ref="S69">SUMPRODUCT(IFERROR(TIMEVALUE(RIGHT(E69:K69,5))-TIMEVALUE(LEFT(E69:K69,5)),0))</f>
        <v>1.770833333333333</v>
      </c>
      <c r="T69" s="3" cm="1">
        <f t="array" ref="T69">SUMPRODUCT(IFERROR(TIMEVALUE(RIGHT(L69:R69,5))-TIMEVALUE(LEFT(L69:R69,5)),0))</f>
        <v>1.770833333333333</v>
      </c>
    </row>
    <row r="70" spans="1:20">
      <c r="A70" s="10" t="s">
        <v>96</v>
      </c>
      <c r="B70" s="10">
        <v>5</v>
      </c>
      <c r="C70" s="11" t="s">
        <v>31</v>
      </c>
      <c r="D70" s="10"/>
      <c r="E70" s="11" t="s">
        <v>12</v>
      </c>
      <c r="F70" s="11" t="s">
        <v>12</v>
      </c>
      <c r="G70" s="11" t="s">
        <v>12</v>
      </c>
      <c r="H70" s="11" t="s">
        <v>12</v>
      </c>
      <c r="I70" s="11" t="s">
        <v>12</v>
      </c>
      <c r="J70" s="11" t="s">
        <v>9</v>
      </c>
      <c r="K70" s="11" t="s">
        <v>9</v>
      </c>
      <c r="L70" s="11" t="s">
        <v>12</v>
      </c>
      <c r="M70" s="11" t="s">
        <v>12</v>
      </c>
      <c r="N70" s="11" t="s">
        <v>12</v>
      </c>
      <c r="O70" s="11" t="s">
        <v>12</v>
      </c>
      <c r="P70" s="11" t="s">
        <v>12</v>
      </c>
      <c r="Q70" s="11" t="s">
        <v>9</v>
      </c>
      <c r="R70" s="11" t="s">
        <v>9</v>
      </c>
      <c r="S70" s="8" cm="1">
        <f t="array" ref="S70">SUMPRODUCT(IFERROR(TIMEVALUE(RIGHT(E70:K70,5))-TIMEVALUE(LEFT(E70:K70,5)),0))</f>
        <v>1.770833333333333</v>
      </c>
      <c r="T70" s="3" cm="1">
        <f t="array" ref="T70">SUMPRODUCT(IFERROR(TIMEVALUE(RIGHT(L70:R70,5))-TIMEVALUE(LEFT(L70:R70,5)),0))</f>
        <v>1.770833333333333</v>
      </c>
    </row>
    <row r="71" spans="1:20">
      <c r="A71" s="10" t="s">
        <v>97</v>
      </c>
      <c r="B71" s="10">
        <v>5</v>
      </c>
      <c r="C71" s="11" t="s">
        <v>31</v>
      </c>
      <c r="D71" s="10"/>
      <c r="E71" s="11" t="s">
        <v>12</v>
      </c>
      <c r="F71" s="11" t="s">
        <v>9</v>
      </c>
      <c r="G71" s="11" t="s">
        <v>9</v>
      </c>
      <c r="H71" s="11" t="s">
        <v>57</v>
      </c>
      <c r="I71" s="11" t="s">
        <v>57</v>
      </c>
      <c r="J71" s="11" t="s">
        <v>57</v>
      </c>
      <c r="K71" s="11" t="s">
        <v>57</v>
      </c>
      <c r="L71" s="11" t="s">
        <v>9</v>
      </c>
      <c r="M71" s="11" t="s">
        <v>9</v>
      </c>
      <c r="N71" s="11" t="s">
        <v>57</v>
      </c>
      <c r="O71" s="11" t="s">
        <v>57</v>
      </c>
      <c r="P71" s="11" t="s">
        <v>57</v>
      </c>
      <c r="Q71" s="11" t="s">
        <v>57</v>
      </c>
      <c r="R71" s="11" t="s">
        <v>57</v>
      </c>
      <c r="S71" s="8" cm="1">
        <f t="array" ref="S71">SUMPRODUCT(IFERROR(TIMEVALUE(RIGHT(E71:K71,5))-TIMEVALUE(LEFT(E71:K71,5)),0))</f>
        <v>0.35416666666666663</v>
      </c>
      <c r="T71" s="3" cm="1">
        <f t="array" ref="T71">SUMPRODUCT(IFERROR(TIMEVALUE(RIGHT(L71:R71,5))-TIMEVALUE(LEFT(L71:R71,5)),0))</f>
        <v>0</v>
      </c>
    </row>
    <row r="72" spans="1:20">
      <c r="A72" s="10" t="s">
        <v>98</v>
      </c>
      <c r="B72" s="10">
        <v>5</v>
      </c>
      <c r="C72" s="11" t="s">
        <v>31</v>
      </c>
      <c r="D72" s="10"/>
      <c r="E72" s="11" t="s">
        <v>9</v>
      </c>
      <c r="F72" s="11" t="s">
        <v>12</v>
      </c>
      <c r="G72" s="11" t="s">
        <v>12</v>
      </c>
      <c r="H72" s="11" t="s">
        <v>12</v>
      </c>
      <c r="I72" s="11" t="s">
        <v>12</v>
      </c>
      <c r="J72" s="11" t="s">
        <v>12</v>
      </c>
      <c r="K72" s="11" t="s">
        <v>9</v>
      </c>
      <c r="L72" s="11" t="s">
        <v>12</v>
      </c>
      <c r="M72" s="11" t="s">
        <v>12</v>
      </c>
      <c r="N72" s="11" t="s">
        <v>12</v>
      </c>
      <c r="O72" s="11" t="s">
        <v>12</v>
      </c>
      <c r="P72" s="11" t="s">
        <v>12</v>
      </c>
      <c r="Q72" s="11" t="s">
        <v>9</v>
      </c>
      <c r="R72" s="11" t="s">
        <v>9</v>
      </c>
      <c r="S72" s="8" cm="1">
        <f t="array" ref="S72">SUMPRODUCT(IFERROR(TIMEVALUE(RIGHT(E72:K72,5))-TIMEVALUE(LEFT(E72:K72,5)),0))</f>
        <v>1.770833333333333</v>
      </c>
      <c r="T72" s="3" cm="1">
        <f t="array" ref="T72">SUMPRODUCT(IFERROR(TIMEVALUE(RIGHT(L72:R72,5))-TIMEVALUE(LEFT(L72:R72,5)),0))</f>
        <v>1.770833333333333</v>
      </c>
    </row>
    <row r="73" spans="1:20">
      <c r="A73" s="10" t="s">
        <v>99</v>
      </c>
      <c r="B73" s="10">
        <v>5</v>
      </c>
      <c r="C73" s="11" t="s">
        <v>31</v>
      </c>
      <c r="D73" s="10"/>
      <c r="E73" s="11" t="s">
        <v>12</v>
      </c>
      <c r="F73" s="11" t="s">
        <v>12</v>
      </c>
      <c r="G73" s="11" t="s">
        <v>12</v>
      </c>
      <c r="H73" s="11" t="s">
        <v>12</v>
      </c>
      <c r="I73" s="11" t="s">
        <v>12</v>
      </c>
      <c r="J73" s="11" t="s">
        <v>9</v>
      </c>
      <c r="K73" s="11" t="s">
        <v>9</v>
      </c>
      <c r="L73" s="11" t="s">
        <v>12</v>
      </c>
      <c r="M73" s="11" t="s">
        <v>12</v>
      </c>
      <c r="N73" s="11" t="s">
        <v>12</v>
      </c>
      <c r="O73" s="11" t="s">
        <v>12</v>
      </c>
      <c r="P73" s="11" t="s">
        <v>12</v>
      </c>
      <c r="Q73" s="11" t="s">
        <v>9</v>
      </c>
      <c r="R73" s="11" t="s">
        <v>9</v>
      </c>
      <c r="S73" s="8" cm="1">
        <f t="array" ref="S73">SUMPRODUCT(IFERROR(TIMEVALUE(RIGHT(E73:K73,5))-TIMEVALUE(LEFT(E73:K73,5)),0))</f>
        <v>1.770833333333333</v>
      </c>
      <c r="T73" s="3" cm="1">
        <f t="array" ref="T73">SUMPRODUCT(IFERROR(TIMEVALUE(RIGHT(L73:R73,5))-TIMEVALUE(LEFT(L73:R73,5)),0))</f>
        <v>1.770833333333333</v>
      </c>
    </row>
    <row r="74" spans="1:20">
      <c r="A74" s="10" t="s">
        <v>100</v>
      </c>
      <c r="B74" s="10">
        <v>5</v>
      </c>
      <c r="C74" s="11" t="s">
        <v>31</v>
      </c>
      <c r="D74" s="10"/>
      <c r="E74" s="11" t="s">
        <v>12</v>
      </c>
      <c r="F74" s="11" t="s">
        <v>12</v>
      </c>
      <c r="G74" s="11" t="s">
        <v>12</v>
      </c>
      <c r="H74" s="11" t="s">
        <v>9</v>
      </c>
      <c r="I74" s="11" t="s">
        <v>9</v>
      </c>
      <c r="J74" s="11" t="s">
        <v>12</v>
      </c>
      <c r="K74" s="11" t="s">
        <v>12</v>
      </c>
      <c r="L74" s="11" t="s">
        <v>12</v>
      </c>
      <c r="M74" s="11" t="s">
        <v>12</v>
      </c>
      <c r="N74" s="11" t="s">
        <v>12</v>
      </c>
      <c r="O74" s="11" t="s">
        <v>9</v>
      </c>
      <c r="P74" s="11" t="s">
        <v>9</v>
      </c>
      <c r="Q74" s="11" t="s">
        <v>12</v>
      </c>
      <c r="R74" s="11" t="s">
        <v>12</v>
      </c>
      <c r="S74" s="8" cm="1">
        <f t="array" ref="S74">SUMPRODUCT(IFERROR(TIMEVALUE(RIGHT(E74:K74,5))-TIMEVALUE(LEFT(E74:K74,5)),0))</f>
        <v>1.770833333333333</v>
      </c>
      <c r="T74" s="3" cm="1">
        <f t="array" ref="T74">SUMPRODUCT(IFERROR(TIMEVALUE(RIGHT(L74:R74,5))-TIMEVALUE(LEFT(L74:R74,5)),0))</f>
        <v>1.770833333333333</v>
      </c>
    </row>
    <row r="75" spans="1:20">
      <c r="A75" s="10" t="s">
        <v>101</v>
      </c>
      <c r="B75" s="10">
        <v>5</v>
      </c>
      <c r="C75" s="11" t="s">
        <v>31</v>
      </c>
      <c r="D75" s="10"/>
      <c r="E75" s="11" t="s">
        <v>12</v>
      </c>
      <c r="F75" s="11" t="s">
        <v>12</v>
      </c>
      <c r="G75" s="11" t="s">
        <v>12</v>
      </c>
      <c r="H75" s="11" t="s">
        <v>12</v>
      </c>
      <c r="I75" s="11" t="s">
        <v>12</v>
      </c>
      <c r="J75" s="11" t="s">
        <v>9</v>
      </c>
      <c r="K75" s="11" t="s">
        <v>9</v>
      </c>
      <c r="L75" s="11" t="s">
        <v>12</v>
      </c>
      <c r="M75" s="11" t="s">
        <v>12</v>
      </c>
      <c r="N75" s="11" t="s">
        <v>12</v>
      </c>
      <c r="O75" s="11" t="s">
        <v>12</v>
      </c>
      <c r="P75" s="11" t="s">
        <v>12</v>
      </c>
      <c r="Q75" s="11" t="s">
        <v>9</v>
      </c>
      <c r="R75" s="11" t="s">
        <v>9</v>
      </c>
      <c r="S75" s="8" cm="1">
        <f t="array" ref="S75">SUMPRODUCT(IFERROR(TIMEVALUE(RIGHT(E75:K75,5))-TIMEVALUE(LEFT(E75:K75,5)),0))</f>
        <v>1.770833333333333</v>
      </c>
      <c r="T75" s="3" cm="1">
        <f t="array" ref="T75">SUMPRODUCT(IFERROR(TIMEVALUE(RIGHT(L75:R75,5))-TIMEVALUE(LEFT(L75:R75,5)),0))</f>
        <v>1.770833333333333</v>
      </c>
    </row>
    <row r="76" spans="1:20">
      <c r="A76" s="10" t="s">
        <v>102</v>
      </c>
      <c r="B76" s="10">
        <v>6</v>
      </c>
      <c r="C76" s="11" t="s">
        <v>17</v>
      </c>
      <c r="D76" s="10"/>
      <c r="E76" s="11" t="s">
        <v>12</v>
      </c>
      <c r="F76" s="11" t="s">
        <v>12</v>
      </c>
      <c r="G76" s="11" t="s">
        <v>9</v>
      </c>
      <c r="H76" s="11" t="s">
        <v>9</v>
      </c>
      <c r="I76" s="11" t="s">
        <v>12</v>
      </c>
      <c r="J76" s="11" t="s">
        <v>12</v>
      </c>
      <c r="K76" s="11" t="s">
        <v>12</v>
      </c>
      <c r="L76" s="11" t="s">
        <v>12</v>
      </c>
      <c r="M76" s="11" t="s">
        <v>12</v>
      </c>
      <c r="N76" s="11" t="s">
        <v>9</v>
      </c>
      <c r="O76" s="11" t="s">
        <v>9</v>
      </c>
      <c r="P76" s="11" t="s">
        <v>12</v>
      </c>
      <c r="Q76" s="11" t="s">
        <v>12</v>
      </c>
      <c r="R76" s="11" t="s">
        <v>12</v>
      </c>
      <c r="S76" s="8" cm="1">
        <f t="array" ref="S76">SUMPRODUCT(IFERROR(TIMEVALUE(RIGHT(E76:K76,5))-TIMEVALUE(LEFT(E76:K76,5)),0))</f>
        <v>1.770833333333333</v>
      </c>
      <c r="T76" s="3" cm="1">
        <f t="array" ref="T76">SUMPRODUCT(IFERROR(TIMEVALUE(RIGHT(L76:R76,5))-TIMEVALUE(LEFT(L76:R76,5)),0))</f>
        <v>1.770833333333333</v>
      </c>
    </row>
    <row r="77" spans="1:20">
      <c r="A77" s="10" t="s">
        <v>103</v>
      </c>
      <c r="B77" s="10">
        <v>6</v>
      </c>
      <c r="C77" s="11" t="s">
        <v>17</v>
      </c>
      <c r="D77" s="10"/>
      <c r="E77" s="11" t="s">
        <v>12</v>
      </c>
      <c r="F77" s="11" t="s">
        <v>9</v>
      </c>
      <c r="G77" s="11" t="s">
        <v>9</v>
      </c>
      <c r="H77" s="11" t="s">
        <v>12</v>
      </c>
      <c r="I77" s="11" t="s">
        <v>12</v>
      </c>
      <c r="J77" s="11" t="s">
        <v>12</v>
      </c>
      <c r="K77" s="11" t="s">
        <v>12</v>
      </c>
      <c r="L77" s="11" t="s">
        <v>12</v>
      </c>
      <c r="M77" s="11" t="s">
        <v>9</v>
      </c>
      <c r="N77" s="11" t="s">
        <v>9</v>
      </c>
      <c r="O77" s="11" t="s">
        <v>12</v>
      </c>
      <c r="P77" s="11" t="s">
        <v>12</v>
      </c>
      <c r="Q77" s="11" t="s">
        <v>12</v>
      </c>
      <c r="R77" s="11" t="s">
        <v>12</v>
      </c>
      <c r="S77" s="8" cm="1">
        <f t="array" ref="S77">SUMPRODUCT(IFERROR(TIMEVALUE(RIGHT(E77:K77,5))-TIMEVALUE(LEFT(E77:K77,5)),0))</f>
        <v>1.770833333333333</v>
      </c>
      <c r="T77" s="3" cm="1">
        <f t="array" ref="T77">SUMPRODUCT(IFERROR(TIMEVALUE(RIGHT(L77:R77,5))-TIMEVALUE(LEFT(L77:R77,5)),0))</f>
        <v>1.770833333333333</v>
      </c>
    </row>
    <row r="78" spans="1:20">
      <c r="A78" s="10" t="s">
        <v>104</v>
      </c>
      <c r="B78" s="10">
        <v>6</v>
      </c>
      <c r="C78" s="11" t="s">
        <v>17</v>
      </c>
      <c r="D78" s="10"/>
      <c r="E78" s="11" t="s">
        <v>12</v>
      </c>
      <c r="F78" s="11" t="s">
        <v>12</v>
      </c>
      <c r="G78" s="11" t="s">
        <v>9</v>
      </c>
      <c r="H78" s="11" t="s">
        <v>9</v>
      </c>
      <c r="I78" s="11" t="s">
        <v>12</v>
      </c>
      <c r="J78" s="11" t="s">
        <v>12</v>
      </c>
      <c r="K78" s="11" t="s">
        <v>12</v>
      </c>
      <c r="L78" s="11" t="s">
        <v>12</v>
      </c>
      <c r="M78" s="11" t="s">
        <v>12</v>
      </c>
      <c r="N78" s="11" t="s">
        <v>9</v>
      </c>
      <c r="O78" s="11" t="s">
        <v>9</v>
      </c>
      <c r="P78" s="11" t="s">
        <v>12</v>
      </c>
      <c r="Q78" s="11" t="s">
        <v>12</v>
      </c>
      <c r="R78" s="11" t="s">
        <v>12</v>
      </c>
      <c r="S78" s="8" cm="1">
        <f t="array" ref="S78">SUMPRODUCT(IFERROR(TIMEVALUE(RIGHT(E78:K78,5))-TIMEVALUE(LEFT(E78:K78,5)),0))</f>
        <v>1.770833333333333</v>
      </c>
      <c r="T78" s="3" cm="1">
        <f t="array" ref="T78">SUMPRODUCT(IFERROR(TIMEVALUE(RIGHT(L78:R78,5))-TIMEVALUE(LEFT(L78:R78,5)),0))</f>
        <v>1.770833333333333</v>
      </c>
    </row>
    <row r="79" spans="1:20">
      <c r="A79" s="10" t="s">
        <v>105</v>
      </c>
      <c r="B79" s="10">
        <v>6</v>
      </c>
      <c r="C79" s="11" t="s">
        <v>17</v>
      </c>
      <c r="D79" s="10"/>
      <c r="E79" s="11" t="s">
        <v>12</v>
      </c>
      <c r="F79" s="11" t="s">
        <v>12</v>
      </c>
      <c r="G79" s="11" t="s">
        <v>12</v>
      </c>
      <c r="H79" s="11" t="s">
        <v>12</v>
      </c>
      <c r="I79" s="11" t="s">
        <v>9</v>
      </c>
      <c r="J79" s="11" t="s">
        <v>9</v>
      </c>
      <c r="K79" s="11" t="s">
        <v>12</v>
      </c>
      <c r="L79" s="11" t="s">
        <v>12</v>
      </c>
      <c r="M79" s="11" t="s">
        <v>12</v>
      </c>
      <c r="N79" s="11" t="s">
        <v>12</v>
      </c>
      <c r="O79" s="11" t="s">
        <v>12</v>
      </c>
      <c r="P79" s="11" t="s">
        <v>9</v>
      </c>
      <c r="Q79" s="11" t="s">
        <v>9</v>
      </c>
      <c r="R79" s="11" t="s">
        <v>12</v>
      </c>
      <c r="S79" s="8" cm="1">
        <f t="array" ref="S79">SUMPRODUCT(IFERROR(TIMEVALUE(RIGHT(E79:K79,5))-TIMEVALUE(LEFT(E79:K79,5)),0))</f>
        <v>1.770833333333333</v>
      </c>
      <c r="T79" s="3" cm="1">
        <f t="array" ref="T79">SUMPRODUCT(IFERROR(TIMEVALUE(RIGHT(L79:R79,5))-TIMEVALUE(LEFT(L79:R79,5)),0))</f>
        <v>1.770833333333333</v>
      </c>
    </row>
    <row r="80" spans="1:20">
      <c r="A80" s="10" t="s">
        <v>106</v>
      </c>
      <c r="B80" s="10">
        <v>6</v>
      </c>
      <c r="C80" s="11" t="s">
        <v>17</v>
      </c>
      <c r="D80" s="10"/>
      <c r="E80" s="11" t="s">
        <v>12</v>
      </c>
      <c r="F80" s="11" t="s">
        <v>9</v>
      </c>
      <c r="G80" s="11" t="s">
        <v>9</v>
      </c>
      <c r="H80" s="11" t="s">
        <v>12</v>
      </c>
      <c r="I80" s="11" t="s">
        <v>12</v>
      </c>
      <c r="J80" s="11" t="s">
        <v>12</v>
      </c>
      <c r="K80" s="11" t="s">
        <v>12</v>
      </c>
      <c r="L80" s="11" t="s">
        <v>12</v>
      </c>
      <c r="M80" s="11" t="s">
        <v>9</v>
      </c>
      <c r="N80" s="11" t="s">
        <v>9</v>
      </c>
      <c r="O80" s="11" t="s">
        <v>12</v>
      </c>
      <c r="P80" s="11" t="s">
        <v>12</v>
      </c>
      <c r="Q80" s="11" t="s">
        <v>12</v>
      </c>
      <c r="R80" s="11" t="s">
        <v>12</v>
      </c>
      <c r="S80" s="8" cm="1">
        <f t="array" ref="S80">SUMPRODUCT(IFERROR(TIMEVALUE(RIGHT(E80:K80,5))-TIMEVALUE(LEFT(E80:K80,5)),0))</f>
        <v>1.770833333333333</v>
      </c>
      <c r="T80" s="3" cm="1">
        <f t="array" ref="T80">SUMPRODUCT(IFERROR(TIMEVALUE(RIGHT(L80:R80,5))-TIMEVALUE(LEFT(L80:R80,5)),0))</f>
        <v>1.770833333333333</v>
      </c>
    </row>
    <row r="81" spans="1:20">
      <c r="A81" s="10" t="s">
        <v>107</v>
      </c>
      <c r="B81" s="10">
        <v>6</v>
      </c>
      <c r="C81" s="11" t="s">
        <v>17</v>
      </c>
      <c r="D81" s="10"/>
      <c r="E81" s="11" t="s">
        <v>12</v>
      </c>
      <c r="F81" s="11" t="s">
        <v>12</v>
      </c>
      <c r="G81" s="11" t="s">
        <v>12</v>
      </c>
      <c r="H81" s="11" t="s">
        <v>12</v>
      </c>
      <c r="I81" s="11" t="s">
        <v>12</v>
      </c>
      <c r="J81" s="11" t="s">
        <v>9</v>
      </c>
      <c r="K81" s="11" t="s">
        <v>9</v>
      </c>
      <c r="L81" s="11" t="s">
        <v>12</v>
      </c>
      <c r="M81" s="11" t="s">
        <v>12</v>
      </c>
      <c r="N81" s="11" t="s">
        <v>12</v>
      </c>
      <c r="O81" s="11" t="s">
        <v>12</v>
      </c>
      <c r="P81" s="11" t="s">
        <v>12</v>
      </c>
      <c r="Q81" s="11" t="s">
        <v>9</v>
      </c>
      <c r="R81" s="11" t="s">
        <v>9</v>
      </c>
      <c r="S81" s="8" cm="1">
        <f t="array" ref="S81">SUMPRODUCT(IFERROR(TIMEVALUE(RIGHT(E81:K81,5))-TIMEVALUE(LEFT(E81:K81,5)),0))</f>
        <v>1.770833333333333</v>
      </c>
      <c r="T81" s="3" cm="1">
        <f t="array" ref="T81">SUMPRODUCT(IFERROR(TIMEVALUE(RIGHT(L81:R81,5))-TIMEVALUE(LEFT(L81:R81,5)),0))</f>
        <v>1.770833333333333</v>
      </c>
    </row>
    <row r="82" spans="1:20">
      <c r="A82" s="10" t="s">
        <v>108</v>
      </c>
      <c r="B82" s="10">
        <v>6</v>
      </c>
      <c r="C82" s="11" t="s">
        <v>17</v>
      </c>
      <c r="D82" s="10"/>
      <c r="E82" s="11" t="s">
        <v>9</v>
      </c>
      <c r="F82" s="11" t="s">
        <v>12</v>
      </c>
      <c r="G82" s="11" t="s">
        <v>12</v>
      </c>
      <c r="H82" s="11" t="s">
        <v>12</v>
      </c>
      <c r="I82" s="11" t="s">
        <v>12</v>
      </c>
      <c r="J82" s="11" t="s">
        <v>12</v>
      </c>
      <c r="K82" s="11" t="s">
        <v>9</v>
      </c>
      <c r="L82" s="11" t="s">
        <v>9</v>
      </c>
      <c r="M82" s="11" t="s">
        <v>12</v>
      </c>
      <c r="N82" s="11" t="s">
        <v>12</v>
      </c>
      <c r="O82" s="11" t="s">
        <v>12</v>
      </c>
      <c r="P82" s="11" t="s">
        <v>12</v>
      </c>
      <c r="Q82" s="11" t="s">
        <v>12</v>
      </c>
      <c r="R82" s="11" t="s">
        <v>9</v>
      </c>
      <c r="S82" s="8" cm="1">
        <f t="array" ref="S82">SUMPRODUCT(IFERROR(TIMEVALUE(RIGHT(E82:K82,5))-TIMEVALUE(LEFT(E82:K82,5)),0))</f>
        <v>1.770833333333333</v>
      </c>
      <c r="T82" s="3" cm="1">
        <f t="array" ref="T82">SUMPRODUCT(IFERROR(TIMEVALUE(RIGHT(L82:R82,5))-TIMEVALUE(LEFT(L82:R82,5)),0))</f>
        <v>1.770833333333333</v>
      </c>
    </row>
    <row r="83" spans="1:20">
      <c r="A83" s="10" t="s">
        <v>109</v>
      </c>
      <c r="B83" s="10">
        <v>6</v>
      </c>
      <c r="C83" s="11" t="s">
        <v>17</v>
      </c>
      <c r="D83" s="10"/>
      <c r="E83" s="11" t="s">
        <v>9</v>
      </c>
      <c r="F83" s="11" t="s">
        <v>12</v>
      </c>
      <c r="G83" s="11" t="s">
        <v>12</v>
      </c>
      <c r="H83" s="11" t="s">
        <v>12</v>
      </c>
      <c r="I83" s="11" t="s">
        <v>12</v>
      </c>
      <c r="J83" s="11" t="s">
        <v>12</v>
      </c>
      <c r="K83" s="11" t="s">
        <v>9</v>
      </c>
      <c r="L83" s="11" t="s">
        <v>9</v>
      </c>
      <c r="M83" s="11" t="s">
        <v>12</v>
      </c>
      <c r="N83" s="11" t="s">
        <v>12</v>
      </c>
      <c r="O83" s="11" t="s">
        <v>12</v>
      </c>
      <c r="P83" s="11" t="s">
        <v>12</v>
      </c>
      <c r="Q83" s="11" t="s">
        <v>12</v>
      </c>
      <c r="R83" s="11" t="s">
        <v>9</v>
      </c>
      <c r="S83" s="8" cm="1">
        <f t="array" ref="S83">SUMPRODUCT(IFERROR(TIMEVALUE(RIGHT(E83:K83,5))-TIMEVALUE(LEFT(E83:K83,5)),0))</f>
        <v>1.770833333333333</v>
      </c>
      <c r="T83" s="3" cm="1">
        <f t="array" ref="T83">SUMPRODUCT(IFERROR(TIMEVALUE(RIGHT(L83:R83,5))-TIMEVALUE(LEFT(L83:R83,5)),0))</f>
        <v>1.770833333333333</v>
      </c>
    </row>
    <row r="84" spans="1:20">
      <c r="A84" s="10" t="s">
        <v>110</v>
      </c>
      <c r="B84" s="10">
        <v>6</v>
      </c>
      <c r="C84" s="11" t="s">
        <v>17</v>
      </c>
      <c r="D84" s="10"/>
      <c r="E84" s="11" t="s">
        <v>12</v>
      </c>
      <c r="F84" s="11" t="s">
        <v>12</v>
      </c>
      <c r="G84" s="11" t="s">
        <v>12</v>
      </c>
      <c r="H84" s="11" t="s">
        <v>12</v>
      </c>
      <c r="I84" s="11" t="s">
        <v>12</v>
      </c>
      <c r="J84" s="11" t="s">
        <v>9</v>
      </c>
      <c r="K84" s="11" t="s">
        <v>9</v>
      </c>
      <c r="L84" s="11" t="s">
        <v>12</v>
      </c>
      <c r="M84" s="11" t="s">
        <v>12</v>
      </c>
      <c r="N84" s="11" t="s">
        <v>12</v>
      </c>
      <c r="O84" s="11" t="s">
        <v>12</v>
      </c>
      <c r="P84" s="11" t="s">
        <v>12</v>
      </c>
      <c r="Q84" s="11" t="s">
        <v>9</v>
      </c>
      <c r="R84" s="11" t="s">
        <v>9</v>
      </c>
      <c r="S84" s="8" cm="1">
        <f t="array" ref="S84">SUMPRODUCT(IFERROR(TIMEVALUE(RIGHT(E84:K84,5))-TIMEVALUE(LEFT(E84:K84,5)),0))</f>
        <v>1.770833333333333</v>
      </c>
      <c r="T84" s="3" cm="1">
        <f t="array" ref="T84">SUMPRODUCT(IFERROR(TIMEVALUE(RIGHT(L84:R84,5))-TIMEVALUE(LEFT(L84:R84,5)),0))</f>
        <v>1.770833333333333</v>
      </c>
    </row>
    <row r="85" spans="1:20">
      <c r="A85" s="10" t="s">
        <v>111</v>
      </c>
      <c r="B85" s="10">
        <v>6</v>
      </c>
      <c r="C85" s="11" t="s">
        <v>17</v>
      </c>
      <c r="D85" s="10"/>
      <c r="E85" s="11" t="s">
        <v>9</v>
      </c>
      <c r="F85" s="11" t="s">
        <v>9</v>
      </c>
      <c r="G85" s="11" t="s">
        <v>57</v>
      </c>
      <c r="H85" s="11" t="s">
        <v>12</v>
      </c>
      <c r="I85" s="11" t="s">
        <v>12</v>
      </c>
      <c r="J85" s="11" t="s">
        <v>12</v>
      </c>
      <c r="K85" s="11" t="s">
        <v>12</v>
      </c>
      <c r="L85" s="11" t="s">
        <v>9</v>
      </c>
      <c r="M85" s="11" t="s">
        <v>9</v>
      </c>
      <c r="N85" s="11" t="s">
        <v>12</v>
      </c>
      <c r="O85" s="11" t="s">
        <v>12</v>
      </c>
      <c r="P85" s="11" t="s">
        <v>12</v>
      </c>
      <c r="Q85" s="11" t="s">
        <v>12</v>
      </c>
      <c r="R85" s="11" t="s">
        <v>12</v>
      </c>
      <c r="S85" s="8" cm="1">
        <f t="array" ref="S85">SUMPRODUCT(IFERROR(TIMEVALUE(RIGHT(E85:K85,5))-TIMEVALUE(LEFT(E85:K85,5)),0))</f>
        <v>1.4166666666666665</v>
      </c>
      <c r="T85" s="3" cm="1">
        <f t="array" ref="T85">SUMPRODUCT(IFERROR(TIMEVALUE(RIGHT(L85:R85,5))-TIMEVALUE(LEFT(L85:R85,5)),0))</f>
        <v>1.770833333333333</v>
      </c>
    </row>
    <row r="86" spans="1:20">
      <c r="A86" s="10" t="s">
        <v>112</v>
      </c>
      <c r="B86" s="10">
        <v>6</v>
      </c>
      <c r="C86" s="11" t="s">
        <v>17</v>
      </c>
      <c r="D86" s="10"/>
      <c r="E86" s="11" t="s">
        <v>12</v>
      </c>
      <c r="F86" s="11" t="s">
        <v>12</v>
      </c>
      <c r="G86" s="11" t="s">
        <v>12</v>
      </c>
      <c r="H86" s="11" t="s">
        <v>12</v>
      </c>
      <c r="I86" s="11" t="s">
        <v>9</v>
      </c>
      <c r="J86" s="11" t="s">
        <v>9</v>
      </c>
      <c r="K86" s="11" t="s">
        <v>12</v>
      </c>
      <c r="L86" s="11" t="s">
        <v>12</v>
      </c>
      <c r="M86" s="11" t="s">
        <v>12</v>
      </c>
      <c r="N86" s="11" t="s">
        <v>12</v>
      </c>
      <c r="O86" s="11" t="s">
        <v>12</v>
      </c>
      <c r="P86" s="11" t="s">
        <v>9</v>
      </c>
      <c r="Q86" s="11" t="s">
        <v>9</v>
      </c>
      <c r="R86" s="11" t="s">
        <v>12</v>
      </c>
      <c r="S86" s="8" cm="1">
        <f t="array" ref="S86">SUMPRODUCT(IFERROR(TIMEVALUE(RIGHT(E86:K86,5))-TIMEVALUE(LEFT(E86:K86,5)),0))</f>
        <v>1.770833333333333</v>
      </c>
      <c r="T86" s="3" cm="1">
        <f t="array" ref="T86">SUMPRODUCT(IFERROR(TIMEVALUE(RIGHT(L86:R86,5))-TIMEVALUE(LEFT(L86:R86,5)),0))</f>
        <v>1.770833333333333</v>
      </c>
    </row>
    <row r="87" spans="1:20">
      <c r="A87" s="10" t="s">
        <v>113</v>
      </c>
      <c r="B87" s="10">
        <v>6</v>
      </c>
      <c r="C87" s="11" t="s">
        <v>17</v>
      </c>
      <c r="D87" s="10"/>
      <c r="E87" s="11" t="s">
        <v>9</v>
      </c>
      <c r="F87" s="11" t="s">
        <v>12</v>
      </c>
      <c r="G87" s="11" t="s">
        <v>12</v>
      </c>
      <c r="H87" s="11" t="s">
        <v>12</v>
      </c>
      <c r="I87" s="11" t="s">
        <v>12</v>
      </c>
      <c r="J87" s="11" t="s">
        <v>12</v>
      </c>
      <c r="K87" s="11" t="s">
        <v>9</v>
      </c>
      <c r="L87" s="11" t="s">
        <v>9</v>
      </c>
      <c r="M87" s="11" t="s">
        <v>12</v>
      </c>
      <c r="N87" s="11" t="s">
        <v>12</v>
      </c>
      <c r="O87" s="11" t="s">
        <v>12</v>
      </c>
      <c r="P87" s="11" t="s">
        <v>12</v>
      </c>
      <c r="Q87" s="11" t="s">
        <v>12</v>
      </c>
      <c r="R87" s="11" t="s">
        <v>9</v>
      </c>
      <c r="S87" s="8" cm="1">
        <f t="array" ref="S87">SUMPRODUCT(IFERROR(TIMEVALUE(RIGHT(E87:K87,5))-TIMEVALUE(LEFT(E87:K87,5)),0))</f>
        <v>1.770833333333333</v>
      </c>
      <c r="T87" s="3" cm="1">
        <f t="array" ref="T87">SUMPRODUCT(IFERROR(TIMEVALUE(RIGHT(L87:R87,5))-TIMEVALUE(LEFT(L87:R87,5)),0))</f>
        <v>1.770833333333333</v>
      </c>
    </row>
    <row r="88" spans="1:20">
      <c r="A88" s="10" t="s">
        <v>114</v>
      </c>
      <c r="B88" s="10">
        <v>6</v>
      </c>
      <c r="C88" s="11" t="s">
        <v>17</v>
      </c>
      <c r="D88" s="10"/>
      <c r="E88" s="11" t="s">
        <v>12</v>
      </c>
      <c r="F88" s="11" t="s">
        <v>12</v>
      </c>
      <c r="G88" s="11" t="s">
        <v>12</v>
      </c>
      <c r="H88" s="11" t="s">
        <v>12</v>
      </c>
      <c r="I88" s="11" t="s">
        <v>12</v>
      </c>
      <c r="J88" s="11" t="s">
        <v>9</v>
      </c>
      <c r="K88" s="11" t="s">
        <v>9</v>
      </c>
      <c r="L88" s="11" t="s">
        <v>12</v>
      </c>
      <c r="M88" s="11" t="s">
        <v>12</v>
      </c>
      <c r="N88" s="11" t="s">
        <v>12</v>
      </c>
      <c r="O88" s="11" t="s">
        <v>12</v>
      </c>
      <c r="P88" s="11" t="s">
        <v>12</v>
      </c>
      <c r="Q88" s="11" t="s">
        <v>9</v>
      </c>
      <c r="R88" s="11" t="s">
        <v>9</v>
      </c>
      <c r="S88" s="8" cm="1">
        <f t="array" ref="S88">SUMPRODUCT(IFERROR(TIMEVALUE(RIGHT(E88:K88,5))-TIMEVALUE(LEFT(E88:K88,5)),0))</f>
        <v>1.770833333333333</v>
      </c>
      <c r="T88" s="3" cm="1">
        <f t="array" ref="T88">SUMPRODUCT(IFERROR(TIMEVALUE(RIGHT(L88:R88,5))-TIMEVALUE(LEFT(L88:R88,5)),0))</f>
        <v>1.770833333333333</v>
      </c>
    </row>
    <row r="89" spans="1:20">
      <c r="A89" s="10" t="s">
        <v>115</v>
      </c>
      <c r="B89" s="10">
        <v>6</v>
      </c>
      <c r="C89" s="11" t="s">
        <v>17</v>
      </c>
      <c r="D89" s="10"/>
      <c r="E89" s="11" t="s">
        <v>12</v>
      </c>
      <c r="F89" s="11" t="s">
        <v>12</v>
      </c>
      <c r="G89" s="11" t="s">
        <v>12</v>
      </c>
      <c r="H89" s="11" t="s">
        <v>12</v>
      </c>
      <c r="I89" s="11" t="s">
        <v>12</v>
      </c>
      <c r="J89" s="11" t="s">
        <v>9</v>
      </c>
      <c r="K89" s="11" t="s">
        <v>9</v>
      </c>
      <c r="L89" s="11" t="s">
        <v>12</v>
      </c>
      <c r="M89" s="11" t="s">
        <v>12</v>
      </c>
      <c r="N89" s="11" t="s">
        <v>12</v>
      </c>
      <c r="O89" s="11" t="s">
        <v>12</v>
      </c>
      <c r="P89" s="11" t="s">
        <v>12</v>
      </c>
      <c r="Q89" s="11" t="s">
        <v>9</v>
      </c>
      <c r="R89" s="11" t="s">
        <v>9</v>
      </c>
      <c r="S89" s="8" cm="1">
        <f t="array" ref="S89">SUMPRODUCT(IFERROR(TIMEVALUE(RIGHT(E89:K89,5))-TIMEVALUE(LEFT(E89:K89,5)),0))</f>
        <v>1.770833333333333</v>
      </c>
      <c r="T89" s="3" cm="1">
        <f t="array" ref="T89">SUMPRODUCT(IFERROR(TIMEVALUE(RIGHT(L89:R89,5))-TIMEVALUE(LEFT(L89:R89,5)),0))</f>
        <v>1.770833333333333</v>
      </c>
    </row>
    <row r="90" spans="1:20">
      <c r="A90" s="10" t="s">
        <v>116</v>
      </c>
      <c r="B90" s="10">
        <v>6</v>
      </c>
      <c r="C90" s="11" t="s">
        <v>17</v>
      </c>
      <c r="D90" s="10"/>
      <c r="E90" s="11" t="s">
        <v>12</v>
      </c>
      <c r="F90" s="11" t="s">
        <v>12</v>
      </c>
      <c r="G90" s="11" t="s">
        <v>12</v>
      </c>
      <c r="H90" s="11" t="s">
        <v>12</v>
      </c>
      <c r="I90" s="11" t="s">
        <v>12</v>
      </c>
      <c r="J90" s="11" t="s">
        <v>9</v>
      </c>
      <c r="K90" s="11" t="s">
        <v>9</v>
      </c>
      <c r="L90" s="11" t="s">
        <v>12</v>
      </c>
      <c r="M90" s="11" t="s">
        <v>12</v>
      </c>
      <c r="N90" s="11" t="s">
        <v>12</v>
      </c>
      <c r="O90" s="11" t="s">
        <v>12</v>
      </c>
      <c r="P90" s="11" t="s">
        <v>12</v>
      </c>
      <c r="Q90" s="11" t="s">
        <v>9</v>
      </c>
      <c r="R90" s="11" t="s">
        <v>9</v>
      </c>
      <c r="S90" s="8" cm="1">
        <f t="array" ref="S90">SUMPRODUCT(IFERROR(TIMEVALUE(RIGHT(E90:K90,5))-TIMEVALUE(LEFT(E90:K90,5)),0))</f>
        <v>1.770833333333333</v>
      </c>
      <c r="T90" s="3" cm="1">
        <f t="array" ref="T90">SUMPRODUCT(IFERROR(TIMEVALUE(RIGHT(L90:R90,5))-TIMEVALUE(LEFT(L90:R90,5)),0))</f>
        <v>1.770833333333333</v>
      </c>
    </row>
    <row r="91" spans="1:20">
      <c r="A91" s="10" t="s">
        <v>117</v>
      </c>
      <c r="B91" s="10">
        <v>7</v>
      </c>
      <c r="C91" s="11" t="s">
        <v>26</v>
      </c>
      <c r="D91" s="10"/>
      <c r="E91" s="11" t="s">
        <v>8</v>
      </c>
      <c r="F91" s="11" t="s">
        <v>8</v>
      </c>
      <c r="G91" s="11" t="s">
        <v>9</v>
      </c>
      <c r="H91" s="11" t="s">
        <v>9</v>
      </c>
      <c r="I91" s="11" t="s">
        <v>8</v>
      </c>
      <c r="J91" s="11" t="s">
        <v>8</v>
      </c>
      <c r="K91" s="11" t="s">
        <v>8</v>
      </c>
      <c r="L91" s="11" t="s">
        <v>8</v>
      </c>
      <c r="M91" s="11" t="s">
        <v>8</v>
      </c>
      <c r="N91" s="11" t="s">
        <v>9</v>
      </c>
      <c r="O91" s="11" t="s">
        <v>9</v>
      </c>
      <c r="P91" s="11" t="s">
        <v>8</v>
      </c>
      <c r="Q91" s="11" t="s">
        <v>8</v>
      </c>
      <c r="R91" s="11" t="s">
        <v>8</v>
      </c>
      <c r="S91" s="8" cm="1">
        <f t="array" ref="S91">SUMPRODUCT(IFERROR(TIMEVALUE(RIGHT(E91:K91,5))-TIMEVALUE(LEFT(E91:K91,5)),0))</f>
        <v>1.7708333333333335</v>
      </c>
      <c r="T91" s="3" cm="1">
        <f t="array" ref="T91">SUMPRODUCT(IFERROR(TIMEVALUE(RIGHT(L91:R91,5))-TIMEVALUE(LEFT(L91:R91,5)),0))</f>
        <v>1.7708333333333335</v>
      </c>
    </row>
    <row r="92" spans="1:20">
      <c r="A92" s="10" t="s">
        <v>118</v>
      </c>
      <c r="B92" s="10">
        <v>7</v>
      </c>
      <c r="C92" s="11" t="s">
        <v>26</v>
      </c>
      <c r="D92" s="10"/>
      <c r="E92" s="11" t="s">
        <v>9</v>
      </c>
      <c r="F92" s="11" t="s">
        <v>8</v>
      </c>
      <c r="G92" s="11" t="s">
        <v>8</v>
      </c>
      <c r="H92" s="11" t="s">
        <v>8</v>
      </c>
      <c r="I92" s="11" t="s">
        <v>8</v>
      </c>
      <c r="J92" s="11" t="s">
        <v>8</v>
      </c>
      <c r="K92" s="11" t="s">
        <v>9</v>
      </c>
      <c r="L92" s="11" t="s">
        <v>9</v>
      </c>
      <c r="M92" s="11" t="s">
        <v>8</v>
      </c>
      <c r="N92" s="11" t="s">
        <v>8</v>
      </c>
      <c r="O92" s="11" t="s">
        <v>8</v>
      </c>
      <c r="P92" s="11" t="s">
        <v>8</v>
      </c>
      <c r="Q92" s="11" t="s">
        <v>8</v>
      </c>
      <c r="R92" s="11" t="s">
        <v>9</v>
      </c>
      <c r="S92" s="8" cm="1">
        <f t="array" ref="S92">SUMPRODUCT(IFERROR(TIMEVALUE(RIGHT(E92:K92,5))-TIMEVALUE(LEFT(E92:K92,5)),0))</f>
        <v>1.7708333333333335</v>
      </c>
      <c r="T92" s="3" cm="1">
        <f t="array" ref="T92">SUMPRODUCT(IFERROR(TIMEVALUE(RIGHT(L92:R92,5))-TIMEVALUE(LEFT(L92:R92,5)),0))</f>
        <v>1.7708333333333335</v>
      </c>
    </row>
    <row r="93" spans="1:20">
      <c r="A93" s="10" t="s">
        <v>119</v>
      </c>
      <c r="B93" s="10">
        <v>7</v>
      </c>
      <c r="C93" s="11" t="s">
        <v>26</v>
      </c>
      <c r="D93" s="10"/>
      <c r="E93" s="11" t="s">
        <v>8</v>
      </c>
      <c r="F93" s="11" t="s">
        <v>8</v>
      </c>
      <c r="G93" s="11" t="s">
        <v>8</v>
      </c>
      <c r="H93" s="11" t="s">
        <v>8</v>
      </c>
      <c r="I93" s="11" t="s">
        <v>9</v>
      </c>
      <c r="J93" s="11" t="s">
        <v>9</v>
      </c>
      <c r="K93" s="11" t="s">
        <v>8</v>
      </c>
      <c r="L93" s="11" t="s">
        <v>8</v>
      </c>
      <c r="M93" s="11" t="s">
        <v>8</v>
      </c>
      <c r="N93" s="11" t="s">
        <v>8</v>
      </c>
      <c r="O93" s="11" t="s">
        <v>8</v>
      </c>
      <c r="P93" s="11" t="s">
        <v>9</v>
      </c>
      <c r="Q93" s="11" t="s">
        <v>9</v>
      </c>
      <c r="R93" s="11" t="s">
        <v>8</v>
      </c>
      <c r="S93" s="8" cm="1">
        <f t="array" ref="S93">SUMPRODUCT(IFERROR(TIMEVALUE(RIGHT(E93:K93,5))-TIMEVALUE(LEFT(E93:K93,5)),0))</f>
        <v>1.7708333333333335</v>
      </c>
      <c r="T93" s="3" cm="1">
        <f t="array" ref="T93">SUMPRODUCT(IFERROR(TIMEVALUE(RIGHT(L93:R93,5))-TIMEVALUE(LEFT(L93:R93,5)),0))</f>
        <v>1.7708333333333335</v>
      </c>
    </row>
    <row r="94" spans="1:20">
      <c r="A94" s="10" t="s">
        <v>120</v>
      </c>
      <c r="B94" s="10">
        <v>7</v>
      </c>
      <c r="C94" s="11" t="s">
        <v>26</v>
      </c>
      <c r="D94" s="10"/>
      <c r="E94" s="11" t="s">
        <v>8</v>
      </c>
      <c r="F94" s="11" t="s">
        <v>8</v>
      </c>
      <c r="G94" s="11" t="s">
        <v>8</v>
      </c>
      <c r="H94" s="11" t="s">
        <v>8</v>
      </c>
      <c r="I94" s="11" t="s">
        <v>9</v>
      </c>
      <c r="J94" s="11" t="s">
        <v>9</v>
      </c>
      <c r="K94" s="11" t="s">
        <v>8</v>
      </c>
      <c r="L94" s="11" t="s">
        <v>8</v>
      </c>
      <c r="M94" s="11" t="s">
        <v>8</v>
      </c>
      <c r="N94" s="11" t="s">
        <v>8</v>
      </c>
      <c r="O94" s="11" t="s">
        <v>8</v>
      </c>
      <c r="P94" s="11" t="s">
        <v>9</v>
      </c>
      <c r="Q94" s="11" t="s">
        <v>9</v>
      </c>
      <c r="R94" s="11" t="s">
        <v>8</v>
      </c>
      <c r="S94" s="8" cm="1">
        <f t="array" ref="S94">SUMPRODUCT(IFERROR(TIMEVALUE(RIGHT(E94:K94,5))-TIMEVALUE(LEFT(E94:K94,5)),0))</f>
        <v>1.7708333333333335</v>
      </c>
      <c r="T94" s="3" cm="1">
        <f t="array" ref="T94">SUMPRODUCT(IFERROR(TIMEVALUE(RIGHT(L94:R94,5))-TIMEVALUE(LEFT(L94:R94,5)),0))</f>
        <v>1.7708333333333335</v>
      </c>
    </row>
    <row r="95" spans="1:20">
      <c r="A95" s="10" t="s">
        <v>121</v>
      </c>
      <c r="B95" s="10">
        <v>7</v>
      </c>
      <c r="C95" s="11" t="s">
        <v>26</v>
      </c>
      <c r="D95" s="10"/>
      <c r="E95" s="11" t="s">
        <v>8</v>
      </c>
      <c r="F95" s="11" t="s">
        <v>8</v>
      </c>
      <c r="G95" s="11" t="s">
        <v>8</v>
      </c>
      <c r="H95" s="11" t="s">
        <v>8</v>
      </c>
      <c r="I95" s="11" t="s">
        <v>8</v>
      </c>
      <c r="J95" s="11" t="s">
        <v>9</v>
      </c>
      <c r="K95" s="11" t="s">
        <v>9</v>
      </c>
      <c r="L95" s="11" t="s">
        <v>8</v>
      </c>
      <c r="M95" s="11" t="s">
        <v>8</v>
      </c>
      <c r="N95" s="11" t="s">
        <v>8</v>
      </c>
      <c r="O95" s="11" t="s">
        <v>8</v>
      </c>
      <c r="P95" s="11" t="s">
        <v>8</v>
      </c>
      <c r="Q95" s="11" t="s">
        <v>9</v>
      </c>
      <c r="R95" s="11" t="s">
        <v>9</v>
      </c>
      <c r="S95" s="8" cm="1">
        <f t="array" ref="S95">SUMPRODUCT(IFERROR(TIMEVALUE(RIGHT(E95:K95,5))-TIMEVALUE(LEFT(E95:K95,5)),0))</f>
        <v>1.7708333333333335</v>
      </c>
      <c r="T95" s="3" cm="1">
        <f t="array" ref="T95">SUMPRODUCT(IFERROR(TIMEVALUE(RIGHT(L95:R95,5))-TIMEVALUE(LEFT(L95:R95,5)),0))</f>
        <v>1.7708333333333335</v>
      </c>
    </row>
    <row r="96" spans="1:20">
      <c r="A96" s="10" t="s">
        <v>122</v>
      </c>
      <c r="B96" s="10">
        <v>7</v>
      </c>
      <c r="C96" s="11" t="s">
        <v>26</v>
      </c>
      <c r="D96" s="10"/>
      <c r="E96" s="11" t="s">
        <v>8</v>
      </c>
      <c r="F96" s="11" t="s">
        <v>8</v>
      </c>
      <c r="G96" s="11" t="s">
        <v>8</v>
      </c>
      <c r="H96" s="11" t="s">
        <v>8</v>
      </c>
      <c r="I96" s="11" t="s">
        <v>8</v>
      </c>
      <c r="J96" s="11" t="s">
        <v>9</v>
      </c>
      <c r="K96" s="11" t="s">
        <v>9</v>
      </c>
      <c r="L96" s="11" t="s">
        <v>8</v>
      </c>
      <c r="M96" s="11" t="s">
        <v>8</v>
      </c>
      <c r="N96" s="11" t="s">
        <v>8</v>
      </c>
      <c r="O96" s="11" t="s">
        <v>8</v>
      </c>
      <c r="P96" s="11" t="s">
        <v>8</v>
      </c>
      <c r="Q96" s="11" t="s">
        <v>9</v>
      </c>
      <c r="R96" s="11" t="s">
        <v>9</v>
      </c>
      <c r="S96" s="8" cm="1">
        <f t="array" ref="S96">SUMPRODUCT(IFERROR(TIMEVALUE(RIGHT(E96:K96,5))-TIMEVALUE(LEFT(E96:K96,5)),0))</f>
        <v>1.7708333333333335</v>
      </c>
      <c r="T96" s="3" cm="1">
        <f t="array" ref="T96">SUMPRODUCT(IFERROR(TIMEVALUE(RIGHT(L96:R96,5))-TIMEVALUE(LEFT(L96:R96,5)),0))</f>
        <v>1.7708333333333335</v>
      </c>
    </row>
    <row r="97" spans="1:20">
      <c r="A97" s="10" t="s">
        <v>123</v>
      </c>
      <c r="B97" s="10">
        <v>7</v>
      </c>
      <c r="C97" s="11" t="s">
        <v>26</v>
      </c>
      <c r="D97" s="10"/>
      <c r="E97" s="11" t="s">
        <v>8</v>
      </c>
      <c r="F97" s="11" t="s">
        <v>8</v>
      </c>
      <c r="G97" s="11" t="s">
        <v>8</v>
      </c>
      <c r="H97" s="11" t="s">
        <v>8</v>
      </c>
      <c r="I97" s="11" t="s">
        <v>8</v>
      </c>
      <c r="J97" s="11" t="s">
        <v>9</v>
      </c>
      <c r="K97" s="11" t="s">
        <v>9</v>
      </c>
      <c r="L97" s="11" t="s">
        <v>8</v>
      </c>
      <c r="M97" s="11" t="s">
        <v>8</v>
      </c>
      <c r="N97" s="11" t="s">
        <v>8</v>
      </c>
      <c r="O97" s="11" t="s">
        <v>8</v>
      </c>
      <c r="P97" s="11" t="s">
        <v>8</v>
      </c>
      <c r="Q97" s="11" t="s">
        <v>9</v>
      </c>
      <c r="R97" s="11" t="s">
        <v>9</v>
      </c>
      <c r="S97" s="8" cm="1">
        <f t="array" ref="S97">SUMPRODUCT(IFERROR(TIMEVALUE(RIGHT(E97:K97,5))-TIMEVALUE(LEFT(E97:K97,5)),0))</f>
        <v>1.7708333333333335</v>
      </c>
      <c r="T97" s="3" cm="1">
        <f t="array" ref="T97">SUMPRODUCT(IFERROR(TIMEVALUE(RIGHT(L97:R97,5))-TIMEVALUE(LEFT(L97:R97,5)),0))</f>
        <v>1.7708333333333335</v>
      </c>
    </row>
    <row r="98" spans="1:20">
      <c r="A98" s="10" t="s">
        <v>124</v>
      </c>
      <c r="B98" s="10">
        <v>7</v>
      </c>
      <c r="C98" s="11" t="s">
        <v>26</v>
      </c>
      <c r="D98" s="10"/>
      <c r="E98" s="11" t="s">
        <v>8</v>
      </c>
      <c r="F98" s="11" t="s">
        <v>8</v>
      </c>
      <c r="G98" s="11" t="s">
        <v>8</v>
      </c>
      <c r="H98" s="11" t="s">
        <v>8</v>
      </c>
      <c r="I98" s="11" t="s">
        <v>8</v>
      </c>
      <c r="J98" s="11" t="s">
        <v>9</v>
      </c>
      <c r="K98" s="11" t="s">
        <v>9</v>
      </c>
      <c r="L98" s="11" t="s">
        <v>8</v>
      </c>
      <c r="M98" s="11" t="s">
        <v>8</v>
      </c>
      <c r="N98" s="11" t="s">
        <v>8</v>
      </c>
      <c r="O98" s="11" t="s">
        <v>8</v>
      </c>
      <c r="P98" s="11" t="s">
        <v>8</v>
      </c>
      <c r="Q98" s="11" t="s">
        <v>9</v>
      </c>
      <c r="R98" s="11" t="s">
        <v>9</v>
      </c>
      <c r="S98" s="8" cm="1">
        <f t="array" ref="S98">SUMPRODUCT(IFERROR(TIMEVALUE(RIGHT(E98:K98,5))-TIMEVALUE(LEFT(E98:K98,5)),0))</f>
        <v>1.7708333333333335</v>
      </c>
      <c r="T98" s="3" cm="1">
        <f t="array" ref="T98">SUMPRODUCT(IFERROR(TIMEVALUE(RIGHT(L98:R98,5))-TIMEVALUE(LEFT(L98:R98,5)),0))</f>
        <v>1.7708333333333335</v>
      </c>
    </row>
    <row r="99" spans="1:20">
      <c r="A99" s="10" t="s">
        <v>125</v>
      </c>
      <c r="B99" s="10">
        <v>7</v>
      </c>
      <c r="C99" s="11" t="s">
        <v>26</v>
      </c>
      <c r="D99" s="10"/>
      <c r="E99" s="11" t="s">
        <v>9</v>
      </c>
      <c r="F99" s="11" t="s">
        <v>84</v>
      </c>
      <c r="G99" s="11" t="s">
        <v>84</v>
      </c>
      <c r="H99" s="11" t="s">
        <v>84</v>
      </c>
      <c r="I99" s="11" t="s">
        <v>12</v>
      </c>
      <c r="J99" s="11" t="s">
        <v>12</v>
      </c>
      <c r="K99" s="11" t="s">
        <v>9</v>
      </c>
      <c r="L99" s="11" t="s">
        <v>9</v>
      </c>
      <c r="M99" s="11" t="s">
        <v>84</v>
      </c>
      <c r="N99" s="11" t="s">
        <v>84</v>
      </c>
      <c r="O99" s="11" t="s">
        <v>84</v>
      </c>
      <c r="P99" s="11" t="s">
        <v>12</v>
      </c>
      <c r="Q99" s="11" t="s">
        <v>12</v>
      </c>
      <c r="R99" s="11" t="s">
        <v>9</v>
      </c>
      <c r="S99" s="8" cm="1">
        <f t="array" ref="S99">SUMPRODUCT(IFERROR(TIMEVALUE(RIGHT(E99:K99,5))-TIMEVALUE(LEFT(E99:K99,5)),0))</f>
        <v>1.770833333333333</v>
      </c>
      <c r="T99" s="3" cm="1">
        <f t="array" ref="T99">SUMPRODUCT(IFERROR(TIMEVALUE(RIGHT(L99:R99,5))-TIMEVALUE(LEFT(L99:R99,5)),0))</f>
        <v>1.770833333333333</v>
      </c>
    </row>
    <row r="100" spans="1:20">
      <c r="A100" s="10" t="s">
        <v>126</v>
      </c>
      <c r="B100" s="10">
        <v>7</v>
      </c>
      <c r="C100" s="11" t="s">
        <v>26</v>
      </c>
      <c r="D100" s="10"/>
      <c r="E100" s="11" t="s">
        <v>84</v>
      </c>
      <c r="F100" s="11" t="s">
        <v>84</v>
      </c>
      <c r="G100" s="11" t="s">
        <v>84</v>
      </c>
      <c r="H100" s="11" t="s">
        <v>84</v>
      </c>
      <c r="I100" s="11" t="s">
        <v>84</v>
      </c>
      <c r="J100" s="11" t="s">
        <v>9</v>
      </c>
      <c r="K100" s="11" t="s">
        <v>9</v>
      </c>
      <c r="L100" s="11" t="s">
        <v>84</v>
      </c>
      <c r="M100" s="11" t="s">
        <v>84</v>
      </c>
      <c r="N100" s="11" t="s">
        <v>84</v>
      </c>
      <c r="O100" s="11" t="s">
        <v>84</v>
      </c>
      <c r="P100" s="11" t="s">
        <v>84</v>
      </c>
      <c r="Q100" s="11" t="s">
        <v>9</v>
      </c>
      <c r="R100" s="11" t="s">
        <v>9</v>
      </c>
      <c r="S100" s="8" cm="1">
        <f t="array" ref="S100">SUMPRODUCT(IFERROR(TIMEVALUE(RIGHT(E100:K100,5))-TIMEVALUE(LEFT(E100:K100,5)),0))</f>
        <v>1.7708333333333335</v>
      </c>
      <c r="T100" s="3" cm="1">
        <f t="array" ref="T100">SUMPRODUCT(IFERROR(TIMEVALUE(RIGHT(L100:R100,5))-TIMEVALUE(LEFT(L100:R100,5)),0))</f>
        <v>1.7708333333333335</v>
      </c>
    </row>
    <row r="101" spans="1:20">
      <c r="A101" s="10" t="s">
        <v>127</v>
      </c>
      <c r="B101" s="10">
        <v>7</v>
      </c>
      <c r="C101" s="11" t="s">
        <v>26</v>
      </c>
      <c r="D101" s="10"/>
      <c r="E101" s="11" t="s">
        <v>12</v>
      </c>
      <c r="F101" s="11" t="s">
        <v>12</v>
      </c>
      <c r="G101" s="11" t="s">
        <v>12</v>
      </c>
      <c r="H101" s="11" t="s">
        <v>12</v>
      </c>
      <c r="I101" s="11" t="s">
        <v>12</v>
      </c>
      <c r="J101" s="11" t="s">
        <v>9</v>
      </c>
      <c r="K101" s="11" t="s">
        <v>9</v>
      </c>
      <c r="L101" s="11" t="s">
        <v>12</v>
      </c>
      <c r="M101" s="11" t="s">
        <v>12</v>
      </c>
      <c r="N101" s="11" t="s">
        <v>12</v>
      </c>
      <c r="O101" s="11" t="s">
        <v>12</v>
      </c>
      <c r="P101" s="11" t="s">
        <v>12</v>
      </c>
      <c r="Q101" s="11" t="s">
        <v>9</v>
      </c>
      <c r="R101" s="11" t="s">
        <v>9</v>
      </c>
      <c r="S101" s="8" cm="1">
        <f t="array" ref="S101">SUMPRODUCT(IFERROR(TIMEVALUE(RIGHT(E101:K101,5))-TIMEVALUE(LEFT(E101:K101,5)),0))</f>
        <v>1.770833333333333</v>
      </c>
      <c r="T101" s="3" cm="1">
        <f t="array" ref="T101">SUMPRODUCT(IFERROR(TIMEVALUE(RIGHT(L101:R101,5))-TIMEVALUE(LEFT(L101:R101,5)),0))</f>
        <v>1.770833333333333</v>
      </c>
    </row>
    <row r="102" spans="1:20">
      <c r="A102" s="10" t="s">
        <v>128</v>
      </c>
      <c r="B102" s="10">
        <v>7</v>
      </c>
      <c r="C102" s="11" t="s">
        <v>26</v>
      </c>
      <c r="D102" s="10"/>
      <c r="E102" s="11" t="s">
        <v>84</v>
      </c>
      <c r="F102" s="11" t="s">
        <v>12</v>
      </c>
      <c r="G102" s="11" t="s">
        <v>12</v>
      </c>
      <c r="H102" s="11" t="s">
        <v>12</v>
      </c>
      <c r="I102" s="11" t="s">
        <v>9</v>
      </c>
      <c r="J102" s="11" t="s">
        <v>9</v>
      </c>
      <c r="K102" s="11" t="s">
        <v>84</v>
      </c>
      <c r="L102" s="11" t="s">
        <v>84</v>
      </c>
      <c r="M102" s="11" t="s">
        <v>12</v>
      </c>
      <c r="N102" s="11" t="s">
        <v>12</v>
      </c>
      <c r="O102" s="11" t="s">
        <v>12</v>
      </c>
      <c r="P102" s="11" t="s">
        <v>9</v>
      </c>
      <c r="Q102" s="11" t="s">
        <v>9</v>
      </c>
      <c r="R102" s="11" t="s">
        <v>84</v>
      </c>
      <c r="S102" s="8" cm="1">
        <f t="array" ref="S102">SUMPRODUCT(IFERROR(TIMEVALUE(RIGHT(E102:K102,5))-TIMEVALUE(LEFT(E102:K102,5)),0))</f>
        <v>1.7708333333333333</v>
      </c>
      <c r="T102" s="3" cm="1">
        <f t="array" ref="T102">SUMPRODUCT(IFERROR(TIMEVALUE(RIGHT(L102:R102,5))-TIMEVALUE(LEFT(L102:R102,5)),0))</f>
        <v>1.7708333333333333</v>
      </c>
    </row>
    <row r="103" spans="1:20">
      <c r="A103" s="10" t="s">
        <v>129</v>
      </c>
      <c r="B103" s="10">
        <v>7</v>
      </c>
      <c r="C103" s="11" t="s">
        <v>26</v>
      </c>
      <c r="D103" s="10"/>
      <c r="E103" s="11" t="s">
        <v>12</v>
      </c>
      <c r="F103" s="11" t="s">
        <v>9</v>
      </c>
      <c r="G103" s="11" t="s">
        <v>12</v>
      </c>
      <c r="H103" s="11" t="s">
        <v>130</v>
      </c>
      <c r="I103" s="11" t="s">
        <v>9</v>
      </c>
      <c r="J103" s="11" t="s">
        <v>130</v>
      </c>
      <c r="K103" s="11" t="s">
        <v>130</v>
      </c>
      <c r="L103" s="11" t="s">
        <v>12</v>
      </c>
      <c r="M103" s="11" t="s">
        <v>12</v>
      </c>
      <c r="N103" s="11" t="s">
        <v>12</v>
      </c>
      <c r="O103" s="11" t="s">
        <v>9</v>
      </c>
      <c r="P103" s="11" t="s">
        <v>9</v>
      </c>
      <c r="Q103" s="11" t="s">
        <v>12</v>
      </c>
      <c r="R103" s="11" t="s">
        <v>12</v>
      </c>
      <c r="S103" s="8" cm="1">
        <f t="array" ref="S103">SUMPRODUCT(IFERROR(TIMEVALUE(RIGHT(E103:K103,5))-TIMEVALUE(LEFT(E103:K103,5)),0))</f>
        <v>0.70833333333333326</v>
      </c>
      <c r="T103" s="3" cm="1">
        <f t="array" ref="T103">SUMPRODUCT(IFERROR(TIMEVALUE(RIGHT(L103:R103,5))-TIMEVALUE(LEFT(L103:R103,5)),0))</f>
        <v>1.770833333333333</v>
      </c>
    </row>
    <row r="104" spans="1:20">
      <c r="A104" s="10" t="s">
        <v>131</v>
      </c>
      <c r="B104" s="10">
        <v>8</v>
      </c>
      <c r="C104" s="11" t="s">
        <v>13</v>
      </c>
      <c r="D104" s="10"/>
      <c r="E104" s="11" t="s">
        <v>9</v>
      </c>
      <c r="F104" s="11" t="s">
        <v>84</v>
      </c>
      <c r="G104" s="11" t="s">
        <v>84</v>
      </c>
      <c r="H104" s="11" t="s">
        <v>84</v>
      </c>
      <c r="I104" s="11" t="s">
        <v>84</v>
      </c>
      <c r="J104" s="11" t="s">
        <v>84</v>
      </c>
      <c r="K104" s="11" t="s">
        <v>9</v>
      </c>
      <c r="L104" s="11" t="s">
        <v>9</v>
      </c>
      <c r="M104" s="11" t="s">
        <v>84</v>
      </c>
      <c r="N104" s="11" t="s">
        <v>84</v>
      </c>
      <c r="O104" s="11" t="s">
        <v>84</v>
      </c>
      <c r="P104" s="11" t="s">
        <v>84</v>
      </c>
      <c r="Q104" s="11" t="s">
        <v>84</v>
      </c>
      <c r="R104" s="11" t="s">
        <v>9</v>
      </c>
      <c r="S104" s="8" cm="1">
        <f t="array" ref="S104">SUMPRODUCT(IFERROR(TIMEVALUE(RIGHT(E104:K104,5))-TIMEVALUE(LEFT(E104:K104,5)),0))</f>
        <v>1.7708333333333335</v>
      </c>
      <c r="T104" s="3" cm="1">
        <f t="array" ref="T104">SUMPRODUCT(IFERROR(TIMEVALUE(RIGHT(L104:R104,5))-TIMEVALUE(LEFT(L104:R104,5)),0))</f>
        <v>1.7708333333333335</v>
      </c>
    </row>
    <row r="105" spans="1:20">
      <c r="A105" s="10" t="s">
        <v>132</v>
      </c>
      <c r="B105" s="10">
        <v>8</v>
      </c>
      <c r="C105" s="11" t="s">
        <v>13</v>
      </c>
      <c r="D105" s="10"/>
      <c r="E105" s="11" t="s">
        <v>84</v>
      </c>
      <c r="F105" s="11" t="s">
        <v>84</v>
      </c>
      <c r="G105" s="11" t="s">
        <v>9</v>
      </c>
      <c r="H105" s="11" t="s">
        <v>9</v>
      </c>
      <c r="I105" s="11" t="s">
        <v>84</v>
      </c>
      <c r="J105" s="11" t="s">
        <v>84</v>
      </c>
      <c r="K105" s="11" t="s">
        <v>84</v>
      </c>
      <c r="L105" s="11" t="s">
        <v>84</v>
      </c>
      <c r="M105" s="11" t="s">
        <v>84</v>
      </c>
      <c r="N105" s="11" t="s">
        <v>9</v>
      </c>
      <c r="O105" s="11" t="s">
        <v>9</v>
      </c>
      <c r="P105" s="11" t="s">
        <v>84</v>
      </c>
      <c r="Q105" s="11" t="s">
        <v>84</v>
      </c>
      <c r="R105" s="11" t="s">
        <v>84</v>
      </c>
      <c r="S105" s="8" cm="1">
        <f t="array" ref="S105">SUMPRODUCT(IFERROR(TIMEVALUE(RIGHT(E105:K105,5))-TIMEVALUE(LEFT(E105:K105,5)),0))</f>
        <v>1.7708333333333335</v>
      </c>
      <c r="T105" s="3" cm="1">
        <f t="array" ref="T105">SUMPRODUCT(IFERROR(TIMEVALUE(RIGHT(L105:R105,5))-TIMEVALUE(LEFT(L105:R105,5)),0))</f>
        <v>1.7708333333333335</v>
      </c>
    </row>
    <row r="106" spans="1:20">
      <c r="A106" s="10" t="s">
        <v>133</v>
      </c>
      <c r="B106" s="10">
        <v>8</v>
      </c>
      <c r="C106" s="11" t="s">
        <v>13</v>
      </c>
      <c r="D106" s="10"/>
      <c r="E106" s="11" t="s">
        <v>84</v>
      </c>
      <c r="F106" s="11" t="s">
        <v>9</v>
      </c>
      <c r="G106" s="11" t="s">
        <v>9</v>
      </c>
      <c r="H106" s="11" t="s">
        <v>84</v>
      </c>
      <c r="I106" s="11" t="s">
        <v>84</v>
      </c>
      <c r="J106" s="11" t="s">
        <v>84</v>
      </c>
      <c r="K106" s="11" t="s">
        <v>84</v>
      </c>
      <c r="L106" s="11" t="s">
        <v>84</v>
      </c>
      <c r="M106" s="11" t="s">
        <v>9</v>
      </c>
      <c r="N106" s="11" t="s">
        <v>9</v>
      </c>
      <c r="O106" s="11" t="s">
        <v>84</v>
      </c>
      <c r="P106" s="11" t="s">
        <v>84</v>
      </c>
      <c r="Q106" s="11" t="s">
        <v>84</v>
      </c>
      <c r="R106" s="11" t="s">
        <v>84</v>
      </c>
      <c r="S106" s="8" cm="1">
        <f t="array" ref="S106">SUMPRODUCT(IFERROR(TIMEVALUE(RIGHT(E106:K106,5))-TIMEVALUE(LEFT(E106:K106,5)),0))</f>
        <v>1.7708333333333335</v>
      </c>
      <c r="T106" s="3" cm="1">
        <f t="array" ref="T106">SUMPRODUCT(IFERROR(TIMEVALUE(RIGHT(L106:R106,5))-TIMEVALUE(LEFT(L106:R106,5)),0))</f>
        <v>1.7708333333333335</v>
      </c>
    </row>
    <row r="107" spans="1:20">
      <c r="A107" s="10" t="s">
        <v>134</v>
      </c>
      <c r="B107" s="10">
        <v>8</v>
      </c>
      <c r="C107" s="11" t="s">
        <v>13</v>
      </c>
      <c r="D107" s="10"/>
      <c r="E107" s="11" t="s">
        <v>9</v>
      </c>
      <c r="F107" s="11" t="s">
        <v>84</v>
      </c>
      <c r="G107" s="11" t="s">
        <v>84</v>
      </c>
      <c r="H107" s="11" t="s">
        <v>84</v>
      </c>
      <c r="I107" s="11" t="s">
        <v>84</v>
      </c>
      <c r="J107" s="11" t="s">
        <v>84</v>
      </c>
      <c r="K107" s="11" t="s">
        <v>9</v>
      </c>
      <c r="L107" s="11" t="s">
        <v>9</v>
      </c>
      <c r="M107" s="11" t="s">
        <v>84</v>
      </c>
      <c r="N107" s="11" t="s">
        <v>84</v>
      </c>
      <c r="O107" s="11" t="s">
        <v>84</v>
      </c>
      <c r="P107" s="11" t="s">
        <v>84</v>
      </c>
      <c r="Q107" s="11" t="s">
        <v>84</v>
      </c>
      <c r="R107" s="11" t="s">
        <v>9</v>
      </c>
      <c r="S107" s="8" cm="1">
        <f t="array" ref="S107">SUMPRODUCT(IFERROR(TIMEVALUE(RIGHT(E107:K107,5))-TIMEVALUE(LEFT(E107:K107,5)),0))</f>
        <v>1.7708333333333335</v>
      </c>
      <c r="T107" s="3" cm="1">
        <f t="array" ref="T107">SUMPRODUCT(IFERROR(TIMEVALUE(RIGHT(L107:R107,5))-TIMEVALUE(LEFT(L107:R107,5)),0))</f>
        <v>1.7708333333333335</v>
      </c>
    </row>
    <row r="108" spans="1:20">
      <c r="A108" s="10" t="s">
        <v>135</v>
      </c>
      <c r="B108" s="10">
        <v>8</v>
      </c>
      <c r="C108" s="11" t="s">
        <v>13</v>
      </c>
      <c r="D108" s="10"/>
      <c r="E108" s="11" t="s">
        <v>84</v>
      </c>
      <c r="F108" s="11" t="s">
        <v>84</v>
      </c>
      <c r="G108" s="11" t="s">
        <v>84</v>
      </c>
      <c r="H108" s="11" t="s">
        <v>84</v>
      </c>
      <c r="I108" s="11" t="s">
        <v>9</v>
      </c>
      <c r="J108" s="11" t="s">
        <v>9</v>
      </c>
      <c r="K108" s="11" t="s">
        <v>84</v>
      </c>
      <c r="L108" s="11" t="s">
        <v>84</v>
      </c>
      <c r="M108" s="11" t="s">
        <v>84</v>
      </c>
      <c r="N108" s="11" t="s">
        <v>84</v>
      </c>
      <c r="O108" s="11" t="s">
        <v>84</v>
      </c>
      <c r="P108" s="11" t="s">
        <v>9</v>
      </c>
      <c r="Q108" s="11" t="s">
        <v>9</v>
      </c>
      <c r="R108" s="11" t="s">
        <v>84</v>
      </c>
      <c r="S108" s="8" cm="1">
        <f t="array" ref="S108">SUMPRODUCT(IFERROR(TIMEVALUE(RIGHT(E108:K108,5))-TIMEVALUE(LEFT(E108:K108,5)),0))</f>
        <v>1.7708333333333335</v>
      </c>
      <c r="T108" s="3" cm="1">
        <f t="array" ref="T108">SUMPRODUCT(IFERROR(TIMEVALUE(RIGHT(L108:R108,5))-TIMEVALUE(LEFT(L108:R108,5)),0))</f>
        <v>1.7708333333333335</v>
      </c>
    </row>
    <row r="109" spans="1:20">
      <c r="A109" s="10" t="s">
        <v>136</v>
      </c>
      <c r="B109" s="10">
        <v>8</v>
      </c>
      <c r="C109" s="11" t="s">
        <v>13</v>
      </c>
      <c r="D109" s="10"/>
      <c r="E109" s="11" t="s">
        <v>84</v>
      </c>
      <c r="F109" s="11" t="s">
        <v>84</v>
      </c>
      <c r="G109" s="11" t="s">
        <v>84</v>
      </c>
      <c r="H109" s="11" t="s">
        <v>84</v>
      </c>
      <c r="I109" s="11" t="s">
        <v>84</v>
      </c>
      <c r="J109" s="11" t="s">
        <v>9</v>
      </c>
      <c r="K109" s="11" t="s">
        <v>9</v>
      </c>
      <c r="L109" s="11" t="s">
        <v>84</v>
      </c>
      <c r="M109" s="11" t="s">
        <v>84</v>
      </c>
      <c r="N109" s="11" t="s">
        <v>84</v>
      </c>
      <c r="O109" s="11" t="s">
        <v>84</v>
      </c>
      <c r="P109" s="11" t="s">
        <v>84</v>
      </c>
      <c r="Q109" s="11" t="s">
        <v>9</v>
      </c>
      <c r="R109" s="11" t="s">
        <v>9</v>
      </c>
      <c r="S109" s="8" cm="1">
        <f t="array" ref="S109">SUMPRODUCT(IFERROR(TIMEVALUE(RIGHT(E109:K109,5))-TIMEVALUE(LEFT(E109:K109,5)),0))</f>
        <v>1.7708333333333335</v>
      </c>
      <c r="T109" s="3" cm="1">
        <f t="array" ref="T109">SUMPRODUCT(IFERROR(TIMEVALUE(RIGHT(L109:R109,5))-TIMEVALUE(LEFT(L109:R109,5)),0))</f>
        <v>1.7708333333333335</v>
      </c>
    </row>
    <row r="110" spans="1:20">
      <c r="A110" s="10" t="s">
        <v>137</v>
      </c>
      <c r="B110" s="10">
        <v>8</v>
      </c>
      <c r="C110" s="11" t="s">
        <v>13</v>
      </c>
      <c r="D110" s="10"/>
      <c r="E110" s="11" t="s">
        <v>30</v>
      </c>
      <c r="F110" s="11" t="s">
        <v>30</v>
      </c>
      <c r="G110" s="11" t="s">
        <v>30</v>
      </c>
      <c r="H110" s="11" t="s">
        <v>30</v>
      </c>
      <c r="I110" s="11" t="s">
        <v>9</v>
      </c>
      <c r="J110" s="11" t="s">
        <v>9</v>
      </c>
      <c r="K110" s="11" t="s">
        <v>30</v>
      </c>
      <c r="L110" s="11" t="s">
        <v>84</v>
      </c>
      <c r="M110" s="11" t="s">
        <v>84</v>
      </c>
      <c r="N110" s="11" t="s">
        <v>9</v>
      </c>
      <c r="O110" s="11" t="s">
        <v>9</v>
      </c>
      <c r="P110" s="11" t="s">
        <v>84</v>
      </c>
      <c r="Q110" s="11" t="s">
        <v>84</v>
      </c>
      <c r="R110" s="11" t="s">
        <v>84</v>
      </c>
      <c r="S110" s="8" cm="1">
        <f t="array" ref="S110">SUMPRODUCT(IFERROR(TIMEVALUE(RIGHT(E110:K110,5))-TIMEVALUE(LEFT(E110:K110,5)),0))</f>
        <v>1.7708333333333335</v>
      </c>
      <c r="T110" s="3" cm="1">
        <f t="array" ref="T110">SUMPRODUCT(IFERROR(TIMEVALUE(RIGHT(L110:R110,5))-TIMEVALUE(LEFT(L110:R110,5)),0))</f>
        <v>1.7708333333333335</v>
      </c>
    </row>
    <row r="111" spans="1:20">
      <c r="A111" s="10" t="s">
        <v>138</v>
      </c>
      <c r="B111" s="10">
        <v>8</v>
      </c>
      <c r="C111" s="11" t="s">
        <v>13</v>
      </c>
      <c r="D111" s="10"/>
      <c r="E111" s="11" t="s">
        <v>9</v>
      </c>
      <c r="F111" s="11" t="s">
        <v>84</v>
      </c>
      <c r="G111" s="11" t="s">
        <v>84</v>
      </c>
      <c r="H111" s="11" t="s">
        <v>84</v>
      </c>
      <c r="I111" s="11" t="s">
        <v>84</v>
      </c>
      <c r="J111" s="11" t="s">
        <v>84</v>
      </c>
      <c r="K111" s="11" t="s">
        <v>9</v>
      </c>
      <c r="L111" s="11" t="s">
        <v>9</v>
      </c>
      <c r="M111" s="11" t="s">
        <v>84</v>
      </c>
      <c r="N111" s="11" t="s">
        <v>84</v>
      </c>
      <c r="O111" s="11" t="s">
        <v>84</v>
      </c>
      <c r="P111" s="11" t="s">
        <v>84</v>
      </c>
      <c r="Q111" s="11" t="s">
        <v>84</v>
      </c>
      <c r="R111" s="11" t="s">
        <v>9</v>
      </c>
      <c r="S111" s="8" cm="1">
        <f t="array" ref="S111">SUMPRODUCT(IFERROR(TIMEVALUE(RIGHT(E111:K111,5))-TIMEVALUE(LEFT(E111:K111,5)),0))</f>
        <v>1.7708333333333335</v>
      </c>
      <c r="T111" s="3" cm="1">
        <f t="array" ref="T111">SUMPRODUCT(IFERROR(TIMEVALUE(RIGHT(L111:R111,5))-TIMEVALUE(LEFT(L111:R111,5)),0))</f>
        <v>1.7708333333333335</v>
      </c>
    </row>
    <row r="112" spans="1:20">
      <c r="A112" s="10" t="s">
        <v>139</v>
      </c>
      <c r="B112" s="10">
        <v>8</v>
      </c>
      <c r="C112" s="11" t="s">
        <v>13</v>
      </c>
      <c r="D112" s="10"/>
      <c r="E112" s="11" t="s">
        <v>84</v>
      </c>
      <c r="F112" s="11" t="s">
        <v>84</v>
      </c>
      <c r="G112" s="11" t="s">
        <v>84</v>
      </c>
      <c r="H112" s="11" t="s">
        <v>84</v>
      </c>
      <c r="I112" s="11" t="s">
        <v>84</v>
      </c>
      <c r="J112" s="11" t="s">
        <v>9</v>
      </c>
      <c r="K112" s="11" t="s">
        <v>9</v>
      </c>
      <c r="L112" s="11" t="s">
        <v>84</v>
      </c>
      <c r="M112" s="11" t="s">
        <v>84</v>
      </c>
      <c r="N112" s="11" t="s">
        <v>84</v>
      </c>
      <c r="O112" s="11" t="s">
        <v>84</v>
      </c>
      <c r="P112" s="11" t="s">
        <v>84</v>
      </c>
      <c r="Q112" s="11" t="s">
        <v>9</v>
      </c>
      <c r="R112" s="11" t="s">
        <v>9</v>
      </c>
      <c r="S112" s="8" cm="1">
        <f t="array" ref="S112">SUMPRODUCT(IFERROR(TIMEVALUE(RIGHT(E112:K112,5))-TIMEVALUE(LEFT(E112:K112,5)),0))</f>
        <v>1.7708333333333335</v>
      </c>
      <c r="T112" s="3" cm="1">
        <f t="array" ref="T112">SUMPRODUCT(IFERROR(TIMEVALUE(RIGHT(L112:R112,5))-TIMEVALUE(LEFT(L112:R112,5)),0))</f>
        <v>1.7708333333333335</v>
      </c>
    </row>
    <row r="113" spans="1:20">
      <c r="A113" s="10" t="s">
        <v>140</v>
      </c>
      <c r="B113" s="10">
        <v>8</v>
      </c>
      <c r="C113" s="11" t="s">
        <v>13</v>
      </c>
      <c r="D113" s="10"/>
      <c r="E113" s="11" t="s">
        <v>84</v>
      </c>
      <c r="F113" s="11" t="s">
        <v>84</v>
      </c>
      <c r="G113" s="11" t="s">
        <v>84</v>
      </c>
      <c r="H113" s="11" t="s">
        <v>84</v>
      </c>
      <c r="I113" s="11" t="s">
        <v>84</v>
      </c>
      <c r="J113" s="11" t="s">
        <v>9</v>
      </c>
      <c r="K113" s="11" t="s">
        <v>9</v>
      </c>
      <c r="L113" s="11" t="s">
        <v>84</v>
      </c>
      <c r="M113" s="11" t="s">
        <v>84</v>
      </c>
      <c r="N113" s="11" t="s">
        <v>84</v>
      </c>
      <c r="O113" s="11" t="s">
        <v>84</v>
      </c>
      <c r="P113" s="11" t="s">
        <v>84</v>
      </c>
      <c r="Q113" s="11" t="s">
        <v>9</v>
      </c>
      <c r="R113" s="11" t="s">
        <v>9</v>
      </c>
      <c r="S113" s="8" cm="1">
        <f t="array" ref="S113">SUMPRODUCT(IFERROR(TIMEVALUE(RIGHT(E113:K113,5))-TIMEVALUE(LEFT(E113:K113,5)),0))</f>
        <v>1.7708333333333335</v>
      </c>
      <c r="T113" s="3" cm="1">
        <f t="array" ref="T113">SUMPRODUCT(IFERROR(TIMEVALUE(RIGHT(L113:R113,5))-TIMEVALUE(LEFT(L113:R113,5)),0))</f>
        <v>1.7708333333333335</v>
      </c>
    </row>
    <row r="114" spans="1:20">
      <c r="A114" s="10" t="s">
        <v>141</v>
      </c>
      <c r="B114" s="10">
        <v>8</v>
      </c>
      <c r="C114" s="11" t="s">
        <v>13</v>
      </c>
      <c r="D114" s="10"/>
      <c r="E114" s="11" t="s">
        <v>84</v>
      </c>
      <c r="F114" s="11" t="s">
        <v>84</v>
      </c>
      <c r="G114" s="11" t="s">
        <v>9</v>
      </c>
      <c r="H114" s="11" t="s">
        <v>9</v>
      </c>
      <c r="I114" s="11" t="s">
        <v>84</v>
      </c>
      <c r="J114" s="11" t="s">
        <v>84</v>
      </c>
      <c r="K114" s="11" t="s">
        <v>84</v>
      </c>
      <c r="L114" s="11" t="s">
        <v>84</v>
      </c>
      <c r="M114" s="11" t="s">
        <v>84</v>
      </c>
      <c r="N114" s="11" t="s">
        <v>9</v>
      </c>
      <c r="O114" s="11" t="s">
        <v>9</v>
      </c>
      <c r="P114" s="11" t="s">
        <v>84</v>
      </c>
      <c r="Q114" s="11" t="s">
        <v>84</v>
      </c>
      <c r="R114" s="11" t="s">
        <v>84</v>
      </c>
      <c r="S114" s="8" cm="1">
        <f t="array" ref="S114">SUMPRODUCT(IFERROR(TIMEVALUE(RIGHT(E114:K114,5))-TIMEVALUE(LEFT(E114:K114,5)),0))</f>
        <v>1.7708333333333335</v>
      </c>
      <c r="T114" s="3" cm="1">
        <f t="array" ref="T114">SUMPRODUCT(IFERROR(TIMEVALUE(RIGHT(L114:R114,5))-TIMEVALUE(LEFT(L114:R114,5)),0))</f>
        <v>1.7708333333333335</v>
      </c>
    </row>
    <row r="115" spans="1:20">
      <c r="A115" s="10" t="s">
        <v>142</v>
      </c>
      <c r="B115" s="10">
        <v>8</v>
      </c>
      <c r="C115" s="11" t="s">
        <v>13</v>
      </c>
      <c r="D115" s="10"/>
      <c r="E115" s="11" t="s">
        <v>57</v>
      </c>
      <c r="F115" s="11" t="s">
        <v>30</v>
      </c>
      <c r="G115" s="11" t="s">
        <v>30</v>
      </c>
      <c r="H115" s="11" t="s">
        <v>30</v>
      </c>
      <c r="I115" s="11" t="s">
        <v>30</v>
      </c>
      <c r="J115" s="11" t="s">
        <v>9</v>
      </c>
      <c r="K115" s="11" t="s">
        <v>9</v>
      </c>
      <c r="L115" s="11" t="s">
        <v>30</v>
      </c>
      <c r="M115" s="11" t="s">
        <v>30</v>
      </c>
      <c r="N115" s="11" t="s">
        <v>30</v>
      </c>
      <c r="O115" s="11" t="s">
        <v>30</v>
      </c>
      <c r="P115" s="11" t="s">
        <v>30</v>
      </c>
      <c r="Q115" s="11" t="s">
        <v>9</v>
      </c>
      <c r="R115" s="11" t="s">
        <v>9</v>
      </c>
      <c r="S115" s="8" cm="1">
        <f t="array" ref="S115">SUMPRODUCT(IFERROR(TIMEVALUE(RIGHT(E115:K115,5))-TIMEVALUE(LEFT(E115:K115,5)),0))</f>
        <v>1.4166666666666667</v>
      </c>
      <c r="T115" s="3" cm="1">
        <f t="array" ref="T115">SUMPRODUCT(IFERROR(TIMEVALUE(RIGHT(L115:R115,5))-TIMEVALUE(LEFT(L115:R115,5)),0))</f>
        <v>1.7708333333333335</v>
      </c>
    </row>
    <row r="116" spans="1:20">
      <c r="A116" s="10" t="s">
        <v>143</v>
      </c>
      <c r="B116" s="10">
        <v>8</v>
      </c>
      <c r="C116" s="11" t="s">
        <v>13</v>
      </c>
      <c r="D116" s="10"/>
      <c r="E116" s="11" t="s">
        <v>84</v>
      </c>
      <c r="F116" s="11" t="s">
        <v>84</v>
      </c>
      <c r="G116" s="11" t="s">
        <v>9</v>
      </c>
      <c r="H116" s="11" t="s">
        <v>9</v>
      </c>
      <c r="I116" s="11" t="s">
        <v>84</v>
      </c>
      <c r="J116" s="11" t="s">
        <v>84</v>
      </c>
      <c r="K116" s="11" t="s">
        <v>84</v>
      </c>
      <c r="L116" s="11" t="s">
        <v>30</v>
      </c>
      <c r="M116" s="11" t="s">
        <v>30</v>
      </c>
      <c r="N116" s="11" t="s">
        <v>30</v>
      </c>
      <c r="O116" s="11" t="s">
        <v>30</v>
      </c>
      <c r="P116" s="11" t="s">
        <v>9</v>
      </c>
      <c r="Q116" s="11" t="s">
        <v>9</v>
      </c>
      <c r="R116" s="11" t="s">
        <v>30</v>
      </c>
      <c r="S116" s="8" cm="1">
        <f t="array" ref="S116">SUMPRODUCT(IFERROR(TIMEVALUE(RIGHT(E116:K116,5))-TIMEVALUE(LEFT(E116:K116,5)),0))</f>
        <v>1.7708333333333335</v>
      </c>
      <c r="T116" s="3" cm="1">
        <f t="array" ref="T116">SUMPRODUCT(IFERROR(TIMEVALUE(RIGHT(L116:R116,5))-TIMEVALUE(LEFT(L116:R116,5)),0))</f>
        <v>1.7708333333333335</v>
      </c>
    </row>
    <row r="117" spans="1:20">
      <c r="A117" s="10" t="s">
        <v>144</v>
      </c>
      <c r="B117" s="10">
        <v>8</v>
      </c>
      <c r="C117" s="11" t="s">
        <v>13</v>
      </c>
      <c r="D117" s="10"/>
      <c r="E117" s="11" t="s">
        <v>12</v>
      </c>
      <c r="F117" s="11" t="s">
        <v>9</v>
      </c>
      <c r="G117" s="11" t="s">
        <v>9</v>
      </c>
      <c r="H117" s="11" t="s">
        <v>12</v>
      </c>
      <c r="I117" s="11" t="s">
        <v>12</v>
      </c>
      <c r="J117" s="11" t="s">
        <v>12</v>
      </c>
      <c r="K117" s="11" t="s">
        <v>12</v>
      </c>
      <c r="L117" s="11" t="s">
        <v>12</v>
      </c>
      <c r="M117" s="11" t="s">
        <v>9</v>
      </c>
      <c r="N117" s="11" t="s">
        <v>9</v>
      </c>
      <c r="O117" s="11" t="s">
        <v>12</v>
      </c>
      <c r="P117" s="11" t="s">
        <v>12</v>
      </c>
      <c r="Q117" s="11" t="s">
        <v>12</v>
      </c>
      <c r="R117" s="11" t="s">
        <v>12</v>
      </c>
      <c r="S117" s="8" cm="1">
        <f t="array" ref="S117">SUMPRODUCT(IFERROR(TIMEVALUE(RIGHT(E117:K117,5))-TIMEVALUE(LEFT(E117:K117,5)),0))</f>
        <v>1.770833333333333</v>
      </c>
      <c r="T117" s="3" cm="1">
        <f t="array" ref="T117">SUMPRODUCT(IFERROR(TIMEVALUE(RIGHT(L117:R117,5))-TIMEVALUE(LEFT(L117:R117,5)),0))</f>
        <v>1.770833333333333</v>
      </c>
    </row>
    <row r="118" spans="1:20">
      <c r="A118" s="10" t="s">
        <v>145</v>
      </c>
      <c r="B118" s="10">
        <v>8</v>
      </c>
      <c r="C118" s="11" t="s">
        <v>13</v>
      </c>
      <c r="D118" s="10"/>
      <c r="E118" s="11" t="s">
        <v>9</v>
      </c>
      <c r="F118" s="11" t="s">
        <v>12</v>
      </c>
      <c r="G118" s="11" t="s">
        <v>12</v>
      </c>
      <c r="H118" s="11" t="s">
        <v>12</v>
      </c>
      <c r="I118" s="11" t="s">
        <v>12</v>
      </c>
      <c r="J118" s="11" t="s">
        <v>12</v>
      </c>
      <c r="K118" s="11" t="s">
        <v>9</v>
      </c>
      <c r="L118" s="11" t="s">
        <v>9</v>
      </c>
      <c r="M118" s="11" t="s">
        <v>12</v>
      </c>
      <c r="N118" s="11" t="s">
        <v>12</v>
      </c>
      <c r="O118" s="11" t="s">
        <v>12</v>
      </c>
      <c r="P118" s="11" t="s">
        <v>12</v>
      </c>
      <c r="Q118" s="11" t="s">
        <v>12</v>
      </c>
      <c r="R118" s="11" t="s">
        <v>9</v>
      </c>
      <c r="S118" s="8" cm="1">
        <f t="array" ref="S118">SUMPRODUCT(IFERROR(TIMEVALUE(RIGHT(E118:K118,5))-TIMEVALUE(LEFT(E118:K118,5)),0))</f>
        <v>1.770833333333333</v>
      </c>
      <c r="T118" s="3" cm="1">
        <f t="array" ref="T118">SUMPRODUCT(IFERROR(TIMEVALUE(RIGHT(L118:R118,5))-TIMEVALUE(LEFT(L118:R118,5)),0))</f>
        <v>1.770833333333333</v>
      </c>
    </row>
    <row r="119" spans="1:20">
      <c r="A119" s="10" t="s">
        <v>146</v>
      </c>
      <c r="B119" s="10">
        <v>9</v>
      </c>
      <c r="C119" s="11" t="s">
        <v>39</v>
      </c>
      <c r="D119" s="10"/>
      <c r="E119" s="11" t="s">
        <v>8</v>
      </c>
      <c r="F119" s="11" t="s">
        <v>8</v>
      </c>
      <c r="G119" s="11" t="s">
        <v>8</v>
      </c>
      <c r="H119" s="11" t="s">
        <v>8</v>
      </c>
      <c r="I119" s="11" t="s">
        <v>9</v>
      </c>
      <c r="J119" s="11" t="s">
        <v>9</v>
      </c>
      <c r="K119" s="11" t="s">
        <v>8</v>
      </c>
      <c r="L119" s="11" t="s">
        <v>8</v>
      </c>
      <c r="M119" s="11" t="s">
        <v>8</v>
      </c>
      <c r="N119" s="11" t="s">
        <v>8</v>
      </c>
      <c r="O119" s="11" t="s">
        <v>8</v>
      </c>
      <c r="P119" s="11" t="s">
        <v>9</v>
      </c>
      <c r="Q119" s="11" t="s">
        <v>9</v>
      </c>
      <c r="R119" s="11" t="s">
        <v>8</v>
      </c>
      <c r="S119" s="8" cm="1">
        <f t="array" ref="S119">SUMPRODUCT(IFERROR(TIMEVALUE(RIGHT(E119:K119,5))-TIMEVALUE(LEFT(E119:K119,5)),0))</f>
        <v>1.7708333333333335</v>
      </c>
      <c r="T119" s="3" cm="1">
        <f t="array" ref="T119">SUMPRODUCT(IFERROR(TIMEVALUE(RIGHT(L119:R119,5))-TIMEVALUE(LEFT(L119:R119,5)),0))</f>
        <v>1.7708333333333335</v>
      </c>
    </row>
    <row r="120" spans="1:20">
      <c r="A120" s="10" t="s">
        <v>147</v>
      </c>
      <c r="B120" s="10">
        <v>9</v>
      </c>
      <c r="C120" s="11" t="s">
        <v>39</v>
      </c>
      <c r="D120" s="10"/>
      <c r="E120" s="11" t="s">
        <v>84</v>
      </c>
      <c r="F120" s="11" t="s">
        <v>9</v>
      </c>
      <c r="G120" s="11" t="s">
        <v>9</v>
      </c>
      <c r="H120" s="11" t="s">
        <v>84</v>
      </c>
      <c r="I120" s="11" t="s">
        <v>84</v>
      </c>
      <c r="J120" s="11" t="s">
        <v>84</v>
      </c>
      <c r="K120" s="11" t="s">
        <v>84</v>
      </c>
      <c r="L120" s="11" t="s">
        <v>84</v>
      </c>
      <c r="M120" s="11" t="s">
        <v>9</v>
      </c>
      <c r="N120" s="11" t="s">
        <v>9</v>
      </c>
      <c r="O120" s="11" t="s">
        <v>84</v>
      </c>
      <c r="P120" s="11" t="s">
        <v>84</v>
      </c>
      <c r="Q120" s="11" t="s">
        <v>84</v>
      </c>
      <c r="R120" s="11" t="s">
        <v>84</v>
      </c>
      <c r="S120" s="8" cm="1">
        <f t="array" ref="S120">SUMPRODUCT(IFERROR(TIMEVALUE(RIGHT(E120:K120,5))-TIMEVALUE(LEFT(E120:K120,5)),0))</f>
        <v>1.7708333333333335</v>
      </c>
      <c r="T120" s="3" cm="1">
        <f t="array" ref="T120">SUMPRODUCT(IFERROR(TIMEVALUE(RIGHT(L120:R120,5))-TIMEVALUE(LEFT(L120:R120,5)),0))</f>
        <v>1.7708333333333335</v>
      </c>
    </row>
    <row r="121" spans="1:20">
      <c r="A121" s="10" t="s">
        <v>148</v>
      </c>
      <c r="B121" s="10">
        <v>9</v>
      </c>
      <c r="C121" s="11" t="s">
        <v>39</v>
      </c>
      <c r="D121" s="10"/>
      <c r="E121" s="11" t="s">
        <v>9</v>
      </c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9</v>
      </c>
      <c r="L121" s="11" t="s">
        <v>9</v>
      </c>
      <c r="M121" s="11" t="s">
        <v>8</v>
      </c>
      <c r="N121" s="11" t="s">
        <v>8</v>
      </c>
      <c r="O121" s="11" t="s">
        <v>8</v>
      </c>
      <c r="P121" s="11" t="s">
        <v>8</v>
      </c>
      <c r="Q121" s="11" t="s">
        <v>8</v>
      </c>
      <c r="R121" s="11" t="s">
        <v>9</v>
      </c>
      <c r="S121" s="8" cm="1">
        <f t="array" ref="S121">SUMPRODUCT(IFERROR(TIMEVALUE(RIGHT(E121:K121,5))-TIMEVALUE(LEFT(E121:K121,5)),0))</f>
        <v>1.7708333333333335</v>
      </c>
      <c r="T121" s="3" cm="1">
        <f t="array" ref="T121">SUMPRODUCT(IFERROR(TIMEVALUE(RIGHT(L121:R121,5))-TIMEVALUE(LEFT(L121:R121,5)),0))</f>
        <v>1.7708333333333335</v>
      </c>
    </row>
    <row r="122" spans="1:20">
      <c r="A122" s="10" t="s">
        <v>149</v>
      </c>
      <c r="B122" s="10">
        <v>9</v>
      </c>
      <c r="C122" s="11" t="s">
        <v>39</v>
      </c>
      <c r="D122" s="10"/>
      <c r="E122" s="11" t="s">
        <v>12</v>
      </c>
      <c r="F122" s="11" t="s">
        <v>9</v>
      </c>
      <c r="G122" s="11" t="s">
        <v>12</v>
      </c>
      <c r="H122" s="11" t="s">
        <v>12</v>
      </c>
      <c r="I122" s="11" t="s">
        <v>9</v>
      </c>
      <c r="J122" s="11" t="s">
        <v>12</v>
      </c>
      <c r="K122" s="11" t="s">
        <v>12</v>
      </c>
      <c r="L122" s="11" t="s">
        <v>12</v>
      </c>
      <c r="M122" s="11" t="s">
        <v>12</v>
      </c>
      <c r="N122" s="11" t="s">
        <v>12</v>
      </c>
      <c r="O122" s="11" t="s">
        <v>9</v>
      </c>
      <c r="P122" s="11" t="s">
        <v>9</v>
      </c>
      <c r="Q122" s="11" t="s">
        <v>12</v>
      </c>
      <c r="R122" s="11" t="s">
        <v>12</v>
      </c>
      <c r="S122" s="8" cm="1">
        <f t="array" ref="S122">SUMPRODUCT(IFERROR(TIMEVALUE(RIGHT(E122:K122,5))-TIMEVALUE(LEFT(E122:K122,5)),0))</f>
        <v>1.770833333333333</v>
      </c>
      <c r="T122" s="3" cm="1">
        <f t="array" ref="T122">SUMPRODUCT(IFERROR(TIMEVALUE(RIGHT(L122:R122,5))-TIMEVALUE(LEFT(L122:R122,5)),0))</f>
        <v>1.770833333333333</v>
      </c>
    </row>
    <row r="123" spans="1:20">
      <c r="A123" s="10" t="s">
        <v>150</v>
      </c>
      <c r="B123" s="10">
        <v>9</v>
      </c>
      <c r="C123" s="11" t="s">
        <v>39</v>
      </c>
      <c r="D123" s="10"/>
      <c r="E123" s="11" t="s">
        <v>12</v>
      </c>
      <c r="F123" s="11" t="s">
        <v>12</v>
      </c>
      <c r="G123" s="11" t="s">
        <v>12</v>
      </c>
      <c r="H123" s="11" t="s">
        <v>12</v>
      </c>
      <c r="I123" s="11" t="s">
        <v>12</v>
      </c>
      <c r="J123" s="11" t="s">
        <v>9</v>
      </c>
      <c r="K123" s="11" t="s">
        <v>9</v>
      </c>
      <c r="L123" s="11" t="s">
        <v>12</v>
      </c>
      <c r="M123" s="11" t="s">
        <v>12</v>
      </c>
      <c r="N123" s="11" t="s">
        <v>12</v>
      </c>
      <c r="O123" s="11" t="s">
        <v>12</v>
      </c>
      <c r="P123" s="11" t="s">
        <v>12</v>
      </c>
      <c r="Q123" s="11" t="s">
        <v>9</v>
      </c>
      <c r="R123" s="11" t="s">
        <v>9</v>
      </c>
      <c r="S123" s="8" cm="1">
        <f t="array" ref="S123">SUMPRODUCT(IFERROR(TIMEVALUE(RIGHT(E123:K123,5))-TIMEVALUE(LEFT(E123:K123,5)),0))</f>
        <v>1.770833333333333</v>
      </c>
      <c r="T123" s="3" cm="1">
        <f t="array" ref="T123">SUMPRODUCT(IFERROR(TIMEVALUE(RIGHT(L123:R123,5))-TIMEVALUE(LEFT(L123:R123,5)),0))</f>
        <v>1.770833333333333</v>
      </c>
    </row>
    <row r="124" spans="1:20">
      <c r="A124" s="10" t="s">
        <v>151</v>
      </c>
      <c r="B124" s="10">
        <v>9</v>
      </c>
      <c r="C124" s="11" t="s">
        <v>39</v>
      </c>
      <c r="D124" s="10"/>
      <c r="E124" s="11" t="s">
        <v>12</v>
      </c>
      <c r="F124" s="11" t="s">
        <v>9</v>
      </c>
      <c r="G124" s="11" t="s">
        <v>9</v>
      </c>
      <c r="H124" s="11" t="s">
        <v>12</v>
      </c>
      <c r="I124" s="11" t="s">
        <v>12</v>
      </c>
      <c r="J124" s="11" t="s">
        <v>12</v>
      </c>
      <c r="K124" s="11" t="s">
        <v>12</v>
      </c>
      <c r="L124" s="11" t="s">
        <v>12</v>
      </c>
      <c r="M124" s="11" t="s">
        <v>9</v>
      </c>
      <c r="N124" s="11" t="s">
        <v>9</v>
      </c>
      <c r="O124" s="11" t="s">
        <v>12</v>
      </c>
      <c r="P124" s="11" t="s">
        <v>12</v>
      </c>
      <c r="Q124" s="11" t="s">
        <v>12</v>
      </c>
      <c r="R124" s="11" t="s">
        <v>12</v>
      </c>
      <c r="S124" s="8" cm="1">
        <f t="array" ref="S124">SUMPRODUCT(IFERROR(TIMEVALUE(RIGHT(E124:K124,5))-TIMEVALUE(LEFT(E124:K124,5)),0))</f>
        <v>1.770833333333333</v>
      </c>
      <c r="T124" s="3" cm="1">
        <f t="array" ref="T124">SUMPRODUCT(IFERROR(TIMEVALUE(RIGHT(L124:R124,5))-TIMEVALUE(LEFT(L124:R124,5)),0))</f>
        <v>1.770833333333333</v>
      </c>
    </row>
    <row r="125" spans="1:20">
      <c r="A125" s="10" t="s">
        <v>152</v>
      </c>
      <c r="B125" s="10">
        <v>9</v>
      </c>
      <c r="C125" s="11" t="s">
        <v>39</v>
      </c>
      <c r="D125" s="10"/>
      <c r="E125" s="11" t="s">
        <v>12</v>
      </c>
      <c r="F125" s="11" t="s">
        <v>12</v>
      </c>
      <c r="G125" s="11" t="s">
        <v>12</v>
      </c>
      <c r="H125" s="11" t="s">
        <v>9</v>
      </c>
      <c r="I125" s="11" t="s">
        <v>9</v>
      </c>
      <c r="J125" s="11" t="s">
        <v>12</v>
      </c>
      <c r="K125" s="11" t="s">
        <v>12</v>
      </c>
      <c r="L125" s="11" t="s">
        <v>12</v>
      </c>
      <c r="M125" s="11" t="s">
        <v>12</v>
      </c>
      <c r="N125" s="11" t="s">
        <v>12</v>
      </c>
      <c r="O125" s="11" t="s">
        <v>12</v>
      </c>
      <c r="P125" s="11" t="s">
        <v>12</v>
      </c>
      <c r="Q125" s="11" t="s">
        <v>9</v>
      </c>
      <c r="R125" s="11" t="s">
        <v>9</v>
      </c>
      <c r="S125" s="8" cm="1">
        <f t="array" ref="S125">SUMPRODUCT(IFERROR(TIMEVALUE(RIGHT(E125:K125,5))-TIMEVALUE(LEFT(E125:K125,5)),0))</f>
        <v>1.770833333333333</v>
      </c>
      <c r="T125" s="3" cm="1">
        <f t="array" ref="T125">SUMPRODUCT(IFERROR(TIMEVALUE(RIGHT(L125:R125,5))-TIMEVALUE(LEFT(L125:R125,5)),0))</f>
        <v>1.770833333333333</v>
      </c>
    </row>
    <row r="126" spans="1:20">
      <c r="A126" s="10" t="s">
        <v>153</v>
      </c>
      <c r="B126" s="10">
        <v>9</v>
      </c>
      <c r="C126" s="11" t="s">
        <v>39</v>
      </c>
      <c r="D126" s="10"/>
      <c r="E126" s="11" t="s">
        <v>12</v>
      </c>
      <c r="F126" s="11" t="s">
        <v>9</v>
      </c>
      <c r="G126" s="11" t="s">
        <v>9</v>
      </c>
      <c r="H126" s="11" t="s">
        <v>12</v>
      </c>
      <c r="I126" s="11" t="s">
        <v>12</v>
      </c>
      <c r="J126" s="11" t="s">
        <v>12</v>
      </c>
      <c r="K126" s="11" t="s">
        <v>12</v>
      </c>
      <c r="L126" s="11" t="s">
        <v>12</v>
      </c>
      <c r="M126" s="11" t="s">
        <v>9</v>
      </c>
      <c r="N126" s="11" t="s">
        <v>9</v>
      </c>
      <c r="O126" s="11" t="s">
        <v>12</v>
      </c>
      <c r="P126" s="11" t="s">
        <v>12</v>
      </c>
      <c r="Q126" s="11" t="s">
        <v>12</v>
      </c>
      <c r="R126" s="11" t="s">
        <v>12</v>
      </c>
      <c r="S126" s="8" cm="1">
        <f t="array" ref="S126">SUMPRODUCT(IFERROR(TIMEVALUE(RIGHT(E126:K126,5))-TIMEVALUE(LEFT(E126:K126,5)),0))</f>
        <v>1.770833333333333</v>
      </c>
      <c r="T126" s="3" cm="1">
        <f t="array" ref="T126">SUMPRODUCT(IFERROR(TIMEVALUE(RIGHT(L126:R126,5))-TIMEVALUE(LEFT(L126:R126,5)),0))</f>
        <v>1.770833333333333</v>
      </c>
    </row>
    <row r="127" spans="1:20">
      <c r="A127" s="10" t="s">
        <v>154</v>
      </c>
      <c r="B127" s="10">
        <v>9</v>
      </c>
      <c r="C127" s="11" t="s">
        <v>39</v>
      </c>
      <c r="D127" s="10"/>
      <c r="E127" s="11" t="s">
        <v>9</v>
      </c>
      <c r="F127" s="11" t="s">
        <v>12</v>
      </c>
      <c r="G127" s="11" t="s">
        <v>12</v>
      </c>
      <c r="H127" s="11" t="s">
        <v>12</v>
      </c>
      <c r="I127" s="11" t="s">
        <v>12</v>
      </c>
      <c r="J127" s="11" t="s">
        <v>12</v>
      </c>
      <c r="K127" s="11" t="s">
        <v>9</v>
      </c>
      <c r="L127" s="11" t="s">
        <v>9</v>
      </c>
      <c r="M127" s="11" t="s">
        <v>12</v>
      </c>
      <c r="N127" s="11" t="s">
        <v>12</v>
      </c>
      <c r="O127" s="11" t="s">
        <v>12</v>
      </c>
      <c r="P127" s="11" t="s">
        <v>12</v>
      </c>
      <c r="Q127" s="11" t="s">
        <v>12</v>
      </c>
      <c r="R127" s="11" t="s">
        <v>9</v>
      </c>
      <c r="S127" s="8" cm="1">
        <f t="array" ref="S127">SUMPRODUCT(IFERROR(TIMEVALUE(RIGHT(E127:K127,5))-TIMEVALUE(LEFT(E127:K127,5)),0))</f>
        <v>1.770833333333333</v>
      </c>
      <c r="T127" s="3" cm="1">
        <f t="array" ref="T127">SUMPRODUCT(IFERROR(TIMEVALUE(RIGHT(L127:R127,5))-TIMEVALUE(LEFT(L127:R127,5)),0))</f>
        <v>1.770833333333333</v>
      </c>
    </row>
    <row r="128" spans="1:20">
      <c r="A128" s="10" t="s">
        <v>155</v>
      </c>
      <c r="B128" s="10">
        <v>9</v>
      </c>
      <c r="C128" s="11" t="s">
        <v>39</v>
      </c>
      <c r="D128" s="10"/>
      <c r="E128" s="11" t="s">
        <v>12</v>
      </c>
      <c r="F128" s="11" t="s">
        <v>12</v>
      </c>
      <c r="G128" s="11" t="s">
        <v>12</v>
      </c>
      <c r="H128" s="11" t="s">
        <v>12</v>
      </c>
      <c r="I128" s="11" t="s">
        <v>9</v>
      </c>
      <c r="J128" s="11" t="s">
        <v>9</v>
      </c>
      <c r="K128" s="11" t="s">
        <v>12</v>
      </c>
      <c r="L128" s="11" t="s">
        <v>12</v>
      </c>
      <c r="M128" s="11" t="s">
        <v>12</v>
      </c>
      <c r="N128" s="11" t="s">
        <v>12</v>
      </c>
      <c r="O128" s="11" t="s">
        <v>12</v>
      </c>
      <c r="P128" s="11" t="s">
        <v>9</v>
      </c>
      <c r="Q128" s="11" t="s">
        <v>9</v>
      </c>
      <c r="R128" s="11" t="s">
        <v>12</v>
      </c>
      <c r="S128" s="8" cm="1">
        <f t="array" ref="S128">SUMPRODUCT(IFERROR(TIMEVALUE(RIGHT(E128:K128,5))-TIMEVALUE(LEFT(E128:K128,5)),0))</f>
        <v>1.770833333333333</v>
      </c>
      <c r="T128" s="3" cm="1">
        <f t="array" ref="T128">SUMPRODUCT(IFERROR(TIMEVALUE(RIGHT(L128:R128,5))-TIMEVALUE(LEFT(L128:R128,5)),0))</f>
        <v>1.770833333333333</v>
      </c>
    </row>
    <row r="129" spans="1:20">
      <c r="A129" s="10" t="s">
        <v>156</v>
      </c>
      <c r="B129" s="10">
        <v>9</v>
      </c>
      <c r="C129" s="11" t="s">
        <v>39</v>
      </c>
      <c r="D129" s="10"/>
      <c r="E129" s="11" t="s">
        <v>9</v>
      </c>
      <c r="F129" s="11" t="s">
        <v>12</v>
      </c>
      <c r="G129" s="11" t="s">
        <v>12</v>
      </c>
      <c r="H129" s="11" t="s">
        <v>12</v>
      </c>
      <c r="I129" s="11" t="s">
        <v>12</v>
      </c>
      <c r="J129" s="11" t="s">
        <v>57</v>
      </c>
      <c r="K129" s="11" t="s">
        <v>9</v>
      </c>
      <c r="L129" s="11" t="s">
        <v>9</v>
      </c>
      <c r="M129" s="11" t="s">
        <v>57</v>
      </c>
      <c r="N129" s="11" t="s">
        <v>57</v>
      </c>
      <c r="O129" s="11" t="s">
        <v>12</v>
      </c>
      <c r="P129" s="11" t="s">
        <v>12</v>
      </c>
      <c r="Q129" s="11" t="s">
        <v>12</v>
      </c>
      <c r="R129" s="11" t="s">
        <v>9</v>
      </c>
      <c r="S129" s="8" cm="1">
        <f t="array" ref="S129">SUMPRODUCT(IFERROR(TIMEVALUE(RIGHT(E129:K129,5))-TIMEVALUE(LEFT(E129:K129,5)),0))</f>
        <v>1.4166666666666665</v>
      </c>
      <c r="T129" s="3" cm="1">
        <f t="array" ref="T129">SUMPRODUCT(IFERROR(TIMEVALUE(RIGHT(L129:R129,5))-TIMEVALUE(LEFT(L129:R129,5)),0))</f>
        <v>1.0625</v>
      </c>
    </row>
    <row r="130" spans="1:20">
      <c r="A130" s="10" t="s">
        <v>157</v>
      </c>
      <c r="B130" s="10">
        <v>9</v>
      </c>
      <c r="C130" s="11" t="s">
        <v>39</v>
      </c>
      <c r="D130" s="10"/>
      <c r="E130" s="11" t="s">
        <v>12</v>
      </c>
      <c r="F130" s="11" t="s">
        <v>12</v>
      </c>
      <c r="G130" s="11" t="s">
        <v>12</v>
      </c>
      <c r="H130" s="11" t="s">
        <v>12</v>
      </c>
      <c r="I130" s="11" t="s">
        <v>12</v>
      </c>
      <c r="J130" s="11" t="s">
        <v>9</v>
      </c>
      <c r="K130" s="11" t="s">
        <v>9</v>
      </c>
      <c r="L130" s="11" t="s">
        <v>12</v>
      </c>
      <c r="M130" s="11" t="s">
        <v>12</v>
      </c>
      <c r="N130" s="11" t="s">
        <v>12</v>
      </c>
      <c r="O130" s="11" t="s">
        <v>12</v>
      </c>
      <c r="P130" s="11" t="s">
        <v>12</v>
      </c>
      <c r="Q130" s="11" t="s">
        <v>9</v>
      </c>
      <c r="R130" s="11" t="s">
        <v>9</v>
      </c>
      <c r="S130" s="8" cm="1">
        <f t="array" ref="S130">SUMPRODUCT(IFERROR(TIMEVALUE(RIGHT(E130:K130,5))-TIMEVALUE(LEFT(E130:K130,5)),0))</f>
        <v>1.770833333333333</v>
      </c>
      <c r="T130" s="3" cm="1">
        <f t="array" ref="T130">SUMPRODUCT(IFERROR(TIMEVALUE(RIGHT(L130:R130,5))-TIMEVALUE(LEFT(L130:R130,5)),0))</f>
        <v>1.770833333333333</v>
      </c>
    </row>
    <row r="131" spans="1:20">
      <c r="A131" s="10" t="s">
        <v>158</v>
      </c>
      <c r="B131" s="10">
        <v>9</v>
      </c>
      <c r="C131" s="11" t="s">
        <v>39</v>
      </c>
      <c r="D131" s="10"/>
      <c r="E131" s="11" t="s">
        <v>12</v>
      </c>
      <c r="F131" s="11" t="s">
        <v>9</v>
      </c>
      <c r="G131" s="11" t="s">
        <v>9</v>
      </c>
      <c r="H131" s="11" t="s">
        <v>12</v>
      </c>
      <c r="I131" s="11" t="s">
        <v>12</v>
      </c>
      <c r="J131" s="11" t="s">
        <v>12</v>
      </c>
      <c r="K131" s="11" t="s">
        <v>12</v>
      </c>
      <c r="L131" s="11" t="s">
        <v>12</v>
      </c>
      <c r="M131" s="11" t="s">
        <v>9</v>
      </c>
      <c r="N131" s="11" t="s">
        <v>9</v>
      </c>
      <c r="O131" s="11" t="s">
        <v>12</v>
      </c>
      <c r="P131" s="11" t="s">
        <v>12</v>
      </c>
      <c r="Q131" s="11" t="s">
        <v>12</v>
      </c>
      <c r="R131" s="11" t="s">
        <v>12</v>
      </c>
      <c r="S131" s="8" cm="1">
        <f t="array" ref="S131">SUMPRODUCT(IFERROR(TIMEVALUE(RIGHT(E131:K131,5))-TIMEVALUE(LEFT(E131:K131,5)),0))</f>
        <v>1.770833333333333</v>
      </c>
      <c r="T131" s="3" cm="1">
        <f t="array" ref="T131">SUMPRODUCT(IFERROR(TIMEVALUE(RIGHT(L131:R131,5))-TIMEVALUE(LEFT(L131:R131,5)),0))</f>
        <v>1.770833333333333</v>
      </c>
    </row>
    <row r="132" spans="1:20">
      <c r="A132" s="10" t="s">
        <v>159</v>
      </c>
      <c r="B132" s="10">
        <v>9</v>
      </c>
      <c r="C132" s="11" t="s">
        <v>39</v>
      </c>
      <c r="D132" s="10"/>
      <c r="E132" s="11" t="s">
        <v>12</v>
      </c>
      <c r="F132" s="11" t="s">
        <v>12</v>
      </c>
      <c r="G132" s="11" t="s">
        <v>9</v>
      </c>
      <c r="H132" s="11" t="s">
        <v>9</v>
      </c>
      <c r="I132" s="11" t="s">
        <v>12</v>
      </c>
      <c r="J132" s="11" t="s">
        <v>12</v>
      </c>
      <c r="K132" s="11" t="s">
        <v>12</v>
      </c>
      <c r="L132" s="11" t="s">
        <v>12</v>
      </c>
      <c r="M132" s="11" t="s">
        <v>12</v>
      </c>
      <c r="N132" s="11" t="s">
        <v>9</v>
      </c>
      <c r="O132" s="11" t="s">
        <v>9</v>
      </c>
      <c r="P132" s="11" t="s">
        <v>12</v>
      </c>
      <c r="Q132" s="11" t="s">
        <v>12</v>
      </c>
      <c r="R132" s="11" t="s">
        <v>12</v>
      </c>
      <c r="S132" s="8" cm="1">
        <f t="array" ref="S132">SUMPRODUCT(IFERROR(TIMEVALUE(RIGHT(E132:K132,5))-TIMEVALUE(LEFT(E132:K132,5)),0))</f>
        <v>1.770833333333333</v>
      </c>
      <c r="T132" s="3" cm="1">
        <f t="array" ref="T132">SUMPRODUCT(IFERROR(TIMEVALUE(RIGHT(L132:R132,5))-TIMEVALUE(LEFT(L132:R132,5)),0))</f>
        <v>1.770833333333333</v>
      </c>
    </row>
    <row r="133" spans="1:20">
      <c r="A133" s="10" t="s">
        <v>160</v>
      </c>
      <c r="B133" s="10">
        <v>10</v>
      </c>
      <c r="C133" s="11" t="s">
        <v>33</v>
      </c>
      <c r="D133" s="10"/>
      <c r="E133" s="11" t="s">
        <v>8</v>
      </c>
      <c r="F133" s="11" t="s">
        <v>8</v>
      </c>
      <c r="G133" s="11" t="s">
        <v>8</v>
      </c>
      <c r="H133" s="11" t="s">
        <v>8</v>
      </c>
      <c r="I133" s="11" t="s">
        <v>9</v>
      </c>
      <c r="J133" s="11" t="s">
        <v>9</v>
      </c>
      <c r="K133" s="11" t="s">
        <v>8</v>
      </c>
      <c r="L133" s="11" t="s">
        <v>8</v>
      </c>
      <c r="M133" s="11" t="s">
        <v>8</v>
      </c>
      <c r="N133" s="11" t="s">
        <v>8</v>
      </c>
      <c r="O133" s="11" t="s">
        <v>8</v>
      </c>
      <c r="P133" s="11" t="s">
        <v>9</v>
      </c>
      <c r="Q133" s="11" t="s">
        <v>9</v>
      </c>
      <c r="R133" s="11" t="s">
        <v>8</v>
      </c>
      <c r="S133" s="8" cm="1">
        <f t="array" ref="S133">SUMPRODUCT(IFERROR(TIMEVALUE(RIGHT(E133:K133,5))-TIMEVALUE(LEFT(E133:K133,5)),0))</f>
        <v>1.7708333333333335</v>
      </c>
      <c r="T133" s="3" cm="1">
        <f t="array" ref="T133">SUMPRODUCT(IFERROR(TIMEVALUE(RIGHT(L133:R133,5))-TIMEVALUE(LEFT(L133:R133,5)),0))</f>
        <v>1.7708333333333335</v>
      </c>
    </row>
    <row r="134" spans="1:20">
      <c r="A134" s="10" t="s">
        <v>161</v>
      </c>
      <c r="B134" s="10">
        <v>10</v>
      </c>
      <c r="C134" s="11" t="s">
        <v>33</v>
      </c>
      <c r="D134" s="10"/>
      <c r="E134" s="11" t="s">
        <v>9</v>
      </c>
      <c r="F134" s="11" t="s">
        <v>8</v>
      </c>
      <c r="G134" s="11" t="s">
        <v>8</v>
      </c>
      <c r="H134" s="11" t="s">
        <v>8</v>
      </c>
      <c r="I134" s="11" t="s">
        <v>8</v>
      </c>
      <c r="J134" s="11" t="s">
        <v>8</v>
      </c>
      <c r="K134" s="11" t="s">
        <v>9</v>
      </c>
      <c r="L134" s="11" t="s">
        <v>9</v>
      </c>
      <c r="M134" s="11" t="s">
        <v>8</v>
      </c>
      <c r="N134" s="11" t="s">
        <v>8</v>
      </c>
      <c r="O134" s="11" t="s">
        <v>8</v>
      </c>
      <c r="P134" s="11" t="s">
        <v>8</v>
      </c>
      <c r="Q134" s="11" t="s">
        <v>8</v>
      </c>
      <c r="R134" s="11" t="s">
        <v>9</v>
      </c>
      <c r="S134" s="8" cm="1">
        <f t="array" ref="S134">SUMPRODUCT(IFERROR(TIMEVALUE(RIGHT(E134:K134,5))-TIMEVALUE(LEFT(E134:K134,5)),0))</f>
        <v>1.7708333333333335</v>
      </c>
      <c r="T134" s="3" cm="1">
        <f t="array" ref="T134">SUMPRODUCT(IFERROR(TIMEVALUE(RIGHT(L134:R134,5))-TIMEVALUE(LEFT(L134:R134,5)),0))</f>
        <v>1.7708333333333335</v>
      </c>
    </row>
    <row r="135" spans="1:20">
      <c r="A135" s="10" t="s">
        <v>162</v>
      </c>
      <c r="B135" s="10">
        <v>10</v>
      </c>
      <c r="C135" s="11" t="s">
        <v>33</v>
      </c>
      <c r="D135" s="10"/>
      <c r="E135" s="11" t="s">
        <v>9</v>
      </c>
      <c r="F135" s="11" t="s">
        <v>8</v>
      </c>
      <c r="G135" s="11" t="s">
        <v>8</v>
      </c>
      <c r="H135" s="11" t="s">
        <v>8</v>
      </c>
      <c r="I135" s="11" t="s">
        <v>8</v>
      </c>
      <c r="J135" s="11" t="s">
        <v>8</v>
      </c>
      <c r="K135" s="11" t="s">
        <v>9</v>
      </c>
      <c r="L135" s="11" t="s">
        <v>9</v>
      </c>
      <c r="M135" s="11" t="s">
        <v>8</v>
      </c>
      <c r="N135" s="11" t="s">
        <v>8</v>
      </c>
      <c r="O135" s="11" t="s">
        <v>8</v>
      </c>
      <c r="P135" s="11" t="s">
        <v>8</v>
      </c>
      <c r="Q135" s="11" t="s">
        <v>8</v>
      </c>
      <c r="R135" s="11" t="s">
        <v>9</v>
      </c>
      <c r="S135" s="8" cm="1">
        <f t="array" ref="S135">SUMPRODUCT(IFERROR(TIMEVALUE(RIGHT(E135:K135,5))-TIMEVALUE(LEFT(E135:K135,5)),0))</f>
        <v>1.7708333333333335</v>
      </c>
      <c r="T135" s="3" cm="1">
        <f t="array" ref="T135">SUMPRODUCT(IFERROR(TIMEVALUE(RIGHT(L135:R135,5))-TIMEVALUE(LEFT(L135:R135,5)),0))</f>
        <v>1.7708333333333335</v>
      </c>
    </row>
    <row r="136" spans="1:20">
      <c r="A136" s="10" t="s">
        <v>163</v>
      </c>
      <c r="B136" s="10">
        <v>10</v>
      </c>
      <c r="C136" s="11" t="s">
        <v>33</v>
      </c>
      <c r="D136" s="10"/>
      <c r="E136" s="11" t="s">
        <v>8</v>
      </c>
      <c r="F136" s="11" t="s">
        <v>8</v>
      </c>
      <c r="G136" s="11" t="s">
        <v>8</v>
      </c>
      <c r="H136" s="11" t="s">
        <v>8</v>
      </c>
      <c r="I136" s="11" t="s">
        <v>9</v>
      </c>
      <c r="J136" s="11" t="s">
        <v>9</v>
      </c>
      <c r="K136" s="11" t="s">
        <v>8</v>
      </c>
      <c r="L136" s="11" t="s">
        <v>8</v>
      </c>
      <c r="M136" s="11" t="s">
        <v>8</v>
      </c>
      <c r="N136" s="11" t="s">
        <v>8</v>
      </c>
      <c r="O136" s="11" t="s">
        <v>8</v>
      </c>
      <c r="P136" s="11" t="s">
        <v>9</v>
      </c>
      <c r="Q136" s="11" t="s">
        <v>9</v>
      </c>
      <c r="R136" s="11" t="s">
        <v>8</v>
      </c>
      <c r="S136" s="8" cm="1">
        <f t="array" ref="S136">SUMPRODUCT(IFERROR(TIMEVALUE(RIGHT(E136:K136,5))-TIMEVALUE(LEFT(E136:K136,5)),0))</f>
        <v>1.7708333333333335</v>
      </c>
      <c r="T136" s="3" cm="1">
        <f t="array" ref="T136">SUMPRODUCT(IFERROR(TIMEVALUE(RIGHT(L136:R136,5))-TIMEVALUE(LEFT(L136:R136,5)),0))</f>
        <v>1.7708333333333335</v>
      </c>
    </row>
    <row r="137" spans="1:20">
      <c r="A137" s="10" t="s">
        <v>164</v>
      </c>
      <c r="B137" s="10">
        <v>10</v>
      </c>
      <c r="C137" s="11" t="s">
        <v>33</v>
      </c>
      <c r="D137" s="10"/>
      <c r="E137" s="11" t="s">
        <v>8</v>
      </c>
      <c r="F137" s="11" t="s">
        <v>8</v>
      </c>
      <c r="G137" s="11" t="s">
        <v>8</v>
      </c>
      <c r="H137" s="11" t="s">
        <v>8</v>
      </c>
      <c r="I137" s="11" t="s">
        <v>8</v>
      </c>
      <c r="J137" s="11" t="s">
        <v>9</v>
      </c>
      <c r="K137" s="11" t="s">
        <v>9</v>
      </c>
      <c r="L137" s="11" t="s">
        <v>8</v>
      </c>
      <c r="M137" s="11" t="s">
        <v>8</v>
      </c>
      <c r="N137" s="11" t="s">
        <v>8</v>
      </c>
      <c r="O137" s="11" t="s">
        <v>8</v>
      </c>
      <c r="P137" s="11" t="s">
        <v>8</v>
      </c>
      <c r="Q137" s="11" t="s">
        <v>9</v>
      </c>
      <c r="R137" s="11" t="s">
        <v>9</v>
      </c>
      <c r="S137" s="8" cm="1">
        <f t="array" ref="S137">SUMPRODUCT(IFERROR(TIMEVALUE(RIGHT(E137:K137,5))-TIMEVALUE(LEFT(E137:K137,5)),0))</f>
        <v>1.7708333333333335</v>
      </c>
      <c r="T137" s="3" cm="1">
        <f t="array" ref="T137">SUMPRODUCT(IFERROR(TIMEVALUE(RIGHT(L137:R137,5))-TIMEVALUE(LEFT(L137:R137,5)),0))</f>
        <v>1.7708333333333335</v>
      </c>
    </row>
    <row r="138" spans="1:20">
      <c r="A138" s="10" t="s">
        <v>165</v>
      </c>
      <c r="B138" s="10">
        <v>10</v>
      </c>
      <c r="C138" s="11" t="s">
        <v>33</v>
      </c>
      <c r="D138" s="10"/>
      <c r="E138" s="11" t="s">
        <v>9</v>
      </c>
      <c r="F138" s="11" t="s">
        <v>8</v>
      </c>
      <c r="G138" s="11" t="s">
        <v>8</v>
      </c>
      <c r="H138" s="11" t="s">
        <v>8</v>
      </c>
      <c r="I138" s="11" t="s">
        <v>8</v>
      </c>
      <c r="J138" s="11" t="s">
        <v>8</v>
      </c>
      <c r="K138" s="11" t="s">
        <v>9</v>
      </c>
      <c r="L138" s="11" t="s">
        <v>9</v>
      </c>
      <c r="M138" s="11" t="s">
        <v>8</v>
      </c>
      <c r="N138" s="11" t="s">
        <v>8</v>
      </c>
      <c r="O138" s="11" t="s">
        <v>8</v>
      </c>
      <c r="P138" s="11" t="s">
        <v>8</v>
      </c>
      <c r="Q138" s="11" t="s">
        <v>8</v>
      </c>
      <c r="R138" s="11" t="s">
        <v>9</v>
      </c>
      <c r="S138" s="8" cm="1">
        <f t="array" ref="S138">SUMPRODUCT(IFERROR(TIMEVALUE(RIGHT(E138:K138,5))-TIMEVALUE(LEFT(E138:K138,5)),0))</f>
        <v>1.7708333333333335</v>
      </c>
      <c r="T138" s="3" cm="1">
        <f t="array" ref="T138">SUMPRODUCT(IFERROR(TIMEVALUE(RIGHT(L138:R138,5))-TIMEVALUE(LEFT(L138:R138,5)),0))</f>
        <v>1.7708333333333335</v>
      </c>
    </row>
    <row r="139" spans="1:20">
      <c r="A139" s="10" t="s">
        <v>166</v>
      </c>
      <c r="B139" s="10">
        <v>10</v>
      </c>
      <c r="C139" s="11" t="s">
        <v>33</v>
      </c>
      <c r="D139" s="10"/>
      <c r="E139" s="11" t="s">
        <v>9</v>
      </c>
      <c r="F139" s="11" t="s">
        <v>8</v>
      </c>
      <c r="G139" s="11" t="s">
        <v>8</v>
      </c>
      <c r="H139" s="11" t="s">
        <v>8</v>
      </c>
      <c r="I139" s="11" t="s">
        <v>8</v>
      </c>
      <c r="J139" s="11" t="s">
        <v>8</v>
      </c>
      <c r="K139" s="11" t="s">
        <v>9</v>
      </c>
      <c r="L139" s="11" t="s">
        <v>9</v>
      </c>
      <c r="M139" s="11" t="s">
        <v>8</v>
      </c>
      <c r="N139" s="11" t="s">
        <v>8</v>
      </c>
      <c r="O139" s="11" t="s">
        <v>8</v>
      </c>
      <c r="P139" s="11" t="s">
        <v>8</v>
      </c>
      <c r="Q139" s="11" t="s">
        <v>8</v>
      </c>
      <c r="R139" s="11" t="s">
        <v>9</v>
      </c>
      <c r="S139" s="8" cm="1">
        <f t="array" ref="S139">SUMPRODUCT(IFERROR(TIMEVALUE(RIGHT(E139:K139,5))-TIMEVALUE(LEFT(E139:K139,5)),0))</f>
        <v>1.7708333333333335</v>
      </c>
      <c r="T139" s="3" cm="1">
        <f t="array" ref="T139">SUMPRODUCT(IFERROR(TIMEVALUE(RIGHT(L139:R139,5))-TIMEVALUE(LEFT(L139:R139,5)),0))</f>
        <v>1.7708333333333335</v>
      </c>
    </row>
    <row r="140" spans="1:20">
      <c r="A140" s="10" t="s">
        <v>167</v>
      </c>
      <c r="B140" s="10">
        <v>10</v>
      </c>
      <c r="C140" s="11" t="s">
        <v>33</v>
      </c>
      <c r="D140" s="10"/>
      <c r="E140" s="11" t="s">
        <v>8</v>
      </c>
      <c r="F140" s="11" t="s">
        <v>8</v>
      </c>
      <c r="G140" s="11" t="s">
        <v>9</v>
      </c>
      <c r="H140" s="11" t="s">
        <v>9</v>
      </c>
      <c r="I140" s="11" t="s">
        <v>8</v>
      </c>
      <c r="J140" s="11" t="s">
        <v>8</v>
      </c>
      <c r="K140" s="11" t="s">
        <v>8</v>
      </c>
      <c r="L140" s="11" t="s">
        <v>8</v>
      </c>
      <c r="M140" s="11" t="s">
        <v>8</v>
      </c>
      <c r="N140" s="11" t="s">
        <v>9</v>
      </c>
      <c r="O140" s="11" t="s">
        <v>9</v>
      </c>
      <c r="P140" s="11" t="s">
        <v>8</v>
      </c>
      <c r="Q140" s="11" t="s">
        <v>8</v>
      </c>
      <c r="R140" s="11" t="s">
        <v>8</v>
      </c>
      <c r="S140" s="8" cm="1">
        <f t="array" ref="S140">SUMPRODUCT(IFERROR(TIMEVALUE(RIGHT(E140:K140,5))-TIMEVALUE(LEFT(E140:K140,5)),0))</f>
        <v>1.7708333333333335</v>
      </c>
      <c r="T140" s="3" cm="1">
        <f t="array" ref="T140">SUMPRODUCT(IFERROR(TIMEVALUE(RIGHT(L140:R140,5))-TIMEVALUE(LEFT(L140:R140,5)),0))</f>
        <v>1.7708333333333335</v>
      </c>
    </row>
    <row r="141" spans="1:20">
      <c r="A141" s="10" t="s">
        <v>168</v>
      </c>
      <c r="B141" s="10">
        <v>10</v>
      </c>
      <c r="C141" s="11" t="s">
        <v>33</v>
      </c>
      <c r="D141" s="10"/>
      <c r="E141" s="11" t="s">
        <v>8</v>
      </c>
      <c r="F141" s="11" t="s">
        <v>8</v>
      </c>
      <c r="G141" s="11" t="s">
        <v>8</v>
      </c>
      <c r="H141" s="11" t="s">
        <v>8</v>
      </c>
      <c r="I141" s="11" t="s">
        <v>8</v>
      </c>
      <c r="J141" s="11" t="s">
        <v>9</v>
      </c>
      <c r="K141" s="11" t="s">
        <v>9</v>
      </c>
      <c r="L141" s="11" t="s">
        <v>8</v>
      </c>
      <c r="M141" s="11" t="s">
        <v>8</v>
      </c>
      <c r="N141" s="11" t="s">
        <v>8</v>
      </c>
      <c r="O141" s="11" t="s">
        <v>8</v>
      </c>
      <c r="P141" s="11" t="s">
        <v>8</v>
      </c>
      <c r="Q141" s="11" t="s">
        <v>9</v>
      </c>
      <c r="R141" s="11" t="s">
        <v>9</v>
      </c>
      <c r="S141" s="8" cm="1">
        <f t="array" ref="S141">SUMPRODUCT(IFERROR(TIMEVALUE(RIGHT(E141:K141,5))-TIMEVALUE(LEFT(E141:K141,5)),0))</f>
        <v>1.7708333333333335</v>
      </c>
      <c r="T141" s="3" cm="1">
        <f t="array" ref="T141">SUMPRODUCT(IFERROR(TIMEVALUE(RIGHT(L141:R141,5))-TIMEVALUE(LEFT(L141:R141,5)),0))</f>
        <v>1.7708333333333335</v>
      </c>
    </row>
    <row r="142" spans="1:20">
      <c r="A142" s="10" t="s">
        <v>169</v>
      </c>
      <c r="B142" s="10">
        <v>10</v>
      </c>
      <c r="C142" s="11" t="s">
        <v>33</v>
      </c>
      <c r="D142" s="10"/>
      <c r="E142" s="11" t="s">
        <v>8</v>
      </c>
      <c r="F142" s="11" t="s">
        <v>8</v>
      </c>
      <c r="G142" s="11" t="s">
        <v>8</v>
      </c>
      <c r="H142" s="11" t="s">
        <v>8</v>
      </c>
      <c r="I142" s="11" t="s">
        <v>8</v>
      </c>
      <c r="J142" s="11" t="s">
        <v>9</v>
      </c>
      <c r="K142" s="11" t="s">
        <v>9</v>
      </c>
      <c r="L142" s="11" t="s">
        <v>8</v>
      </c>
      <c r="M142" s="11" t="s">
        <v>8</v>
      </c>
      <c r="N142" s="11" t="s">
        <v>8</v>
      </c>
      <c r="O142" s="11" t="s">
        <v>8</v>
      </c>
      <c r="P142" s="11" t="s">
        <v>8</v>
      </c>
      <c r="Q142" s="11" t="s">
        <v>9</v>
      </c>
      <c r="R142" s="11" t="s">
        <v>9</v>
      </c>
      <c r="S142" s="8" cm="1">
        <f t="array" ref="S142">SUMPRODUCT(IFERROR(TIMEVALUE(RIGHT(E142:K142,5))-TIMEVALUE(LEFT(E142:K142,5)),0))</f>
        <v>1.7708333333333335</v>
      </c>
      <c r="T142" s="3" cm="1">
        <f t="array" ref="T142">SUMPRODUCT(IFERROR(TIMEVALUE(RIGHT(L142:R142,5))-TIMEVALUE(LEFT(L142:R142,5)),0))</f>
        <v>1.7708333333333335</v>
      </c>
    </row>
    <row r="143" spans="1:20">
      <c r="A143" s="10" t="s">
        <v>170</v>
      </c>
      <c r="B143" s="10">
        <v>10</v>
      </c>
      <c r="C143" s="11" t="s">
        <v>33</v>
      </c>
      <c r="D143" s="10"/>
      <c r="E143" s="11" t="s">
        <v>8</v>
      </c>
      <c r="F143" s="11" t="s">
        <v>9</v>
      </c>
      <c r="G143" s="11" t="s">
        <v>9</v>
      </c>
      <c r="H143" s="11" t="s">
        <v>8</v>
      </c>
      <c r="I143" s="11" t="s">
        <v>8</v>
      </c>
      <c r="J143" s="11" t="s">
        <v>8</v>
      </c>
      <c r="K143" s="11" t="s">
        <v>8</v>
      </c>
      <c r="L143" s="11" t="s">
        <v>8</v>
      </c>
      <c r="M143" s="11" t="s">
        <v>9</v>
      </c>
      <c r="N143" s="11" t="s">
        <v>9</v>
      </c>
      <c r="O143" s="11" t="s">
        <v>8</v>
      </c>
      <c r="P143" s="11" t="s">
        <v>8</v>
      </c>
      <c r="Q143" s="11" t="s">
        <v>8</v>
      </c>
      <c r="R143" s="11" t="s">
        <v>8</v>
      </c>
      <c r="S143" s="8" cm="1">
        <f t="array" ref="S143">SUMPRODUCT(IFERROR(TIMEVALUE(RIGHT(E143:K143,5))-TIMEVALUE(LEFT(E143:K143,5)),0))</f>
        <v>1.7708333333333335</v>
      </c>
      <c r="T143" s="3" cm="1">
        <f t="array" ref="T143">SUMPRODUCT(IFERROR(TIMEVALUE(RIGHT(L143:R143,5))-TIMEVALUE(LEFT(L143:R143,5)),0))</f>
        <v>1.7708333333333335</v>
      </c>
    </row>
    <row r="144" spans="1:20">
      <c r="A144" s="10" t="s">
        <v>171</v>
      </c>
      <c r="B144" s="10">
        <v>10</v>
      </c>
      <c r="C144" s="11" t="s">
        <v>33</v>
      </c>
      <c r="D144" s="10"/>
      <c r="E144" s="11" t="s">
        <v>84</v>
      </c>
      <c r="F144" s="11" t="s">
        <v>9</v>
      </c>
      <c r="G144" s="11" t="s">
        <v>9</v>
      </c>
      <c r="H144" s="11" t="s">
        <v>84</v>
      </c>
      <c r="I144" s="11" t="s">
        <v>84</v>
      </c>
      <c r="J144" s="11" t="s">
        <v>84</v>
      </c>
      <c r="K144" s="11" t="s">
        <v>84</v>
      </c>
      <c r="L144" s="11" t="s">
        <v>84</v>
      </c>
      <c r="M144" s="11" t="s">
        <v>9</v>
      </c>
      <c r="N144" s="11" t="s">
        <v>9</v>
      </c>
      <c r="O144" s="11" t="s">
        <v>84</v>
      </c>
      <c r="P144" s="11" t="s">
        <v>84</v>
      </c>
      <c r="Q144" s="11" t="s">
        <v>84</v>
      </c>
      <c r="R144" s="11" t="s">
        <v>84</v>
      </c>
      <c r="S144" s="8" cm="1">
        <f t="array" ref="S144">SUMPRODUCT(IFERROR(TIMEVALUE(RIGHT(E144:K144,5))-TIMEVALUE(LEFT(E144:K144,5)),0))</f>
        <v>1.7708333333333335</v>
      </c>
      <c r="T144" s="3" cm="1">
        <f t="array" ref="T144">SUMPRODUCT(IFERROR(TIMEVALUE(RIGHT(L144:R144,5))-TIMEVALUE(LEFT(L144:R144,5)),0))</f>
        <v>1.7708333333333335</v>
      </c>
    </row>
    <row r="145" spans="1:31">
      <c r="A145" s="10" t="s">
        <v>172</v>
      </c>
      <c r="B145" s="10">
        <v>10</v>
      </c>
      <c r="C145" s="11" t="s">
        <v>33</v>
      </c>
      <c r="D145" s="10"/>
      <c r="E145" s="11" t="s">
        <v>84</v>
      </c>
      <c r="F145" s="11" t="s">
        <v>84</v>
      </c>
      <c r="G145" s="11" t="s">
        <v>84</v>
      </c>
      <c r="H145" s="11" t="s">
        <v>84</v>
      </c>
      <c r="I145" s="11" t="s">
        <v>9</v>
      </c>
      <c r="J145" s="11" t="s">
        <v>9</v>
      </c>
      <c r="K145" s="11" t="s">
        <v>84</v>
      </c>
      <c r="L145" s="11" t="s">
        <v>84</v>
      </c>
      <c r="M145" s="11" t="s">
        <v>84</v>
      </c>
      <c r="N145" s="11" t="s">
        <v>84</v>
      </c>
      <c r="O145" s="11" t="s">
        <v>84</v>
      </c>
      <c r="P145" s="11" t="s">
        <v>9</v>
      </c>
      <c r="Q145" s="11" t="s">
        <v>9</v>
      </c>
      <c r="R145" s="11" t="s">
        <v>84</v>
      </c>
      <c r="S145" s="8" cm="1">
        <f t="array" ref="S145">SUMPRODUCT(IFERROR(TIMEVALUE(RIGHT(E145:K145,5))-TIMEVALUE(LEFT(E145:K145,5)),0))</f>
        <v>1.7708333333333335</v>
      </c>
      <c r="T145" s="3" cm="1">
        <f t="array" ref="T145">SUMPRODUCT(IFERROR(TIMEVALUE(RIGHT(L145:R145,5))-TIMEVALUE(LEFT(L145:R145,5)),0))</f>
        <v>1.7708333333333335</v>
      </c>
    </row>
    <row r="146" spans="1:31">
      <c r="A146" s="10" t="s">
        <v>173</v>
      </c>
      <c r="B146" s="10">
        <v>10</v>
      </c>
      <c r="C146" s="11" t="s">
        <v>33</v>
      </c>
      <c r="D146" s="10"/>
      <c r="E146" s="11" t="s">
        <v>84</v>
      </c>
      <c r="F146" s="11" t="s">
        <v>84</v>
      </c>
      <c r="G146" s="11" t="s">
        <v>84</v>
      </c>
      <c r="H146" s="11" t="s">
        <v>84</v>
      </c>
      <c r="I146" s="11" t="s">
        <v>9</v>
      </c>
      <c r="J146" s="11" t="s">
        <v>9</v>
      </c>
      <c r="K146" s="11" t="s">
        <v>84</v>
      </c>
      <c r="L146" s="11" t="s">
        <v>84</v>
      </c>
      <c r="M146" s="11" t="s">
        <v>84</v>
      </c>
      <c r="N146" s="11" t="s">
        <v>84</v>
      </c>
      <c r="O146" s="11" t="s">
        <v>84</v>
      </c>
      <c r="P146" s="11" t="s">
        <v>9</v>
      </c>
      <c r="Q146" s="11" t="s">
        <v>9</v>
      </c>
      <c r="R146" s="11" t="s">
        <v>84</v>
      </c>
      <c r="S146" s="8" cm="1">
        <f t="array" ref="S146">SUMPRODUCT(IFERROR(TIMEVALUE(RIGHT(E146:K146,5))-TIMEVALUE(LEFT(E146:K146,5)),0))</f>
        <v>1.7708333333333335</v>
      </c>
      <c r="T146" s="3" cm="1">
        <f t="array" ref="T146">SUMPRODUCT(IFERROR(TIMEVALUE(RIGHT(L146:R146,5))-TIMEVALUE(LEFT(L146:R146,5)),0))</f>
        <v>1.7708333333333335</v>
      </c>
    </row>
    <row r="147" spans="1:31">
      <c r="A147" s="10" t="s">
        <v>174</v>
      </c>
      <c r="B147" s="10">
        <v>10</v>
      </c>
      <c r="C147" s="11" t="s">
        <v>33</v>
      </c>
      <c r="D147" s="10"/>
      <c r="E147" s="11" t="s">
        <v>9</v>
      </c>
      <c r="F147" s="11" t="s">
        <v>12</v>
      </c>
      <c r="G147" s="11" t="s">
        <v>12</v>
      </c>
      <c r="H147" s="11" t="s">
        <v>12</v>
      </c>
      <c r="I147" s="11" t="s">
        <v>12</v>
      </c>
      <c r="J147" s="11" t="s">
        <v>12</v>
      </c>
      <c r="K147" s="11" t="s">
        <v>9</v>
      </c>
      <c r="L147" s="11" t="s">
        <v>9</v>
      </c>
      <c r="M147" s="11" t="s">
        <v>12</v>
      </c>
      <c r="N147" s="11" t="s">
        <v>12</v>
      </c>
      <c r="O147" s="11" t="s">
        <v>12</v>
      </c>
      <c r="P147" s="11" t="s">
        <v>12</v>
      </c>
      <c r="Q147" s="11" t="s">
        <v>12</v>
      </c>
      <c r="R147" s="11" t="s">
        <v>9</v>
      </c>
      <c r="S147" s="8" cm="1">
        <f t="array" ref="S147">SUMPRODUCT(IFERROR(TIMEVALUE(RIGHT(E147:K147,5))-TIMEVALUE(LEFT(E147:K147,5)),0))</f>
        <v>1.770833333333333</v>
      </c>
      <c r="T147" s="3" cm="1">
        <f t="array" ref="T147">SUMPRODUCT(IFERROR(TIMEVALUE(RIGHT(L147:R147,5))-TIMEVALUE(LEFT(L147:R147,5)),0))</f>
        <v>1.770833333333333</v>
      </c>
    </row>
    <row r="148" spans="1:31" s="9" customFormat="1">
      <c r="A148" s="10" t="s">
        <v>175</v>
      </c>
      <c r="B148" s="10">
        <v>11</v>
      </c>
      <c r="C148" s="11" t="s">
        <v>22</v>
      </c>
      <c r="D148" s="10"/>
      <c r="E148" s="11" t="s">
        <v>9</v>
      </c>
      <c r="F148" s="11" t="s">
        <v>8</v>
      </c>
      <c r="G148" s="11" t="s">
        <v>8</v>
      </c>
      <c r="H148" s="11" t="s">
        <v>8</v>
      </c>
      <c r="I148" s="11" t="s">
        <v>8</v>
      </c>
      <c r="J148" s="11" t="s">
        <v>8</v>
      </c>
      <c r="K148" s="11" t="s">
        <v>9</v>
      </c>
      <c r="L148" s="11" t="s">
        <v>9</v>
      </c>
      <c r="M148" s="11" t="s">
        <v>8</v>
      </c>
      <c r="N148" s="11" t="s">
        <v>8</v>
      </c>
      <c r="O148" s="11" t="s">
        <v>8</v>
      </c>
      <c r="P148" s="11" t="s">
        <v>8</v>
      </c>
      <c r="Q148" s="11" t="s">
        <v>8</v>
      </c>
      <c r="R148" s="11" t="s">
        <v>9</v>
      </c>
      <c r="S148" s="8" cm="1">
        <f t="array" ref="S148">SUMPRODUCT(IFERROR(TIMEVALUE(RIGHT(E148:K148,5))-TIMEVALUE(LEFT(E148:K148,5)),0))</f>
        <v>1.7708333333333335</v>
      </c>
      <c r="T148" s="3" cm="1">
        <f t="array" ref="T148">SUMPRODUCT(IFERROR(TIMEVALUE(RIGHT(L148:R148,5))-TIMEVALUE(LEFT(L148:R148,5)),0))</f>
        <v>1.7708333333333335</v>
      </c>
      <c r="AE148" s="2"/>
    </row>
    <row r="149" spans="1:31">
      <c r="A149" s="10" t="s">
        <v>176</v>
      </c>
      <c r="B149" s="10">
        <v>11</v>
      </c>
      <c r="C149" s="11" t="s">
        <v>22</v>
      </c>
      <c r="D149" s="10"/>
      <c r="E149" s="11" t="s">
        <v>9</v>
      </c>
      <c r="F149" s="11" t="s">
        <v>84</v>
      </c>
      <c r="G149" s="11" t="s">
        <v>84</v>
      </c>
      <c r="H149" s="11" t="s">
        <v>84</v>
      </c>
      <c r="I149" s="11" t="s">
        <v>84</v>
      </c>
      <c r="J149" s="11" t="s">
        <v>84</v>
      </c>
      <c r="K149" s="11" t="s">
        <v>9</v>
      </c>
      <c r="L149" s="11" t="s">
        <v>9</v>
      </c>
      <c r="M149" s="11" t="s">
        <v>84</v>
      </c>
      <c r="N149" s="11" t="s">
        <v>84</v>
      </c>
      <c r="O149" s="11" t="s">
        <v>84</v>
      </c>
      <c r="P149" s="11" t="s">
        <v>84</v>
      </c>
      <c r="Q149" s="11" t="s">
        <v>84</v>
      </c>
      <c r="R149" s="11" t="s">
        <v>9</v>
      </c>
      <c r="S149" s="8" cm="1">
        <f t="array" ref="S149">SUMPRODUCT(IFERROR(TIMEVALUE(RIGHT(E149:K149,5))-TIMEVALUE(LEFT(E149:K149,5)),0))</f>
        <v>1.7708333333333335</v>
      </c>
      <c r="T149" s="3" cm="1">
        <f t="array" ref="T149">SUMPRODUCT(IFERROR(TIMEVALUE(RIGHT(L149:R149,5))-TIMEVALUE(LEFT(L149:R149,5)),0))</f>
        <v>1.7708333333333335</v>
      </c>
    </row>
    <row r="150" spans="1:31">
      <c r="A150" s="10" t="s">
        <v>177</v>
      </c>
      <c r="B150" s="10">
        <v>11</v>
      </c>
      <c r="C150" s="11" t="s">
        <v>22</v>
      </c>
      <c r="D150" s="10"/>
      <c r="E150" s="11" t="s">
        <v>9</v>
      </c>
      <c r="F150" s="11" t="s">
        <v>84</v>
      </c>
      <c r="G150" s="11" t="s">
        <v>84</v>
      </c>
      <c r="H150" s="11" t="s">
        <v>84</v>
      </c>
      <c r="I150" s="11" t="s">
        <v>84</v>
      </c>
      <c r="J150" s="11" t="s">
        <v>84</v>
      </c>
      <c r="K150" s="11" t="s">
        <v>9</v>
      </c>
      <c r="L150" s="11" t="s">
        <v>9</v>
      </c>
      <c r="M150" s="11" t="s">
        <v>84</v>
      </c>
      <c r="N150" s="11" t="s">
        <v>84</v>
      </c>
      <c r="O150" s="11" t="s">
        <v>84</v>
      </c>
      <c r="P150" s="11" t="s">
        <v>84</v>
      </c>
      <c r="Q150" s="11" t="s">
        <v>84</v>
      </c>
      <c r="R150" s="11" t="s">
        <v>9</v>
      </c>
      <c r="S150" s="8" cm="1">
        <f t="array" ref="S150">SUMPRODUCT(IFERROR(TIMEVALUE(RIGHT(E150:K150,5))-TIMEVALUE(LEFT(E150:K150,5)),0))</f>
        <v>1.7708333333333335</v>
      </c>
      <c r="T150" s="3" cm="1">
        <f t="array" ref="T150">SUMPRODUCT(IFERROR(TIMEVALUE(RIGHT(L150:R150,5))-TIMEVALUE(LEFT(L150:R150,5)),0))</f>
        <v>1.7708333333333335</v>
      </c>
    </row>
    <row r="151" spans="1:31">
      <c r="A151" s="10" t="s">
        <v>178</v>
      </c>
      <c r="B151" s="10">
        <v>11</v>
      </c>
      <c r="C151" s="11" t="s">
        <v>22</v>
      </c>
      <c r="D151" s="10"/>
      <c r="E151" s="11" t="s">
        <v>30</v>
      </c>
      <c r="F151" s="11" t="s">
        <v>30</v>
      </c>
      <c r="G151" s="11" t="s">
        <v>30</v>
      </c>
      <c r="H151" s="11" t="s">
        <v>9</v>
      </c>
      <c r="I151" s="11" t="s">
        <v>9</v>
      </c>
      <c r="J151" s="11" t="s">
        <v>30</v>
      </c>
      <c r="K151" s="11" t="s">
        <v>30</v>
      </c>
      <c r="L151" s="11" t="s">
        <v>30</v>
      </c>
      <c r="M151" s="11" t="s">
        <v>30</v>
      </c>
      <c r="N151" s="11" t="s">
        <v>30</v>
      </c>
      <c r="O151" s="11" t="s">
        <v>9</v>
      </c>
      <c r="P151" s="11" t="s">
        <v>9</v>
      </c>
      <c r="Q151" s="11" t="s">
        <v>30</v>
      </c>
      <c r="R151" s="11" t="s">
        <v>30</v>
      </c>
      <c r="S151" s="8" cm="1">
        <f t="array" ref="S151">SUMPRODUCT(IFERROR(TIMEVALUE(RIGHT(E151:K151,5))-TIMEVALUE(LEFT(E151:K151,5)),0))</f>
        <v>1.7708333333333335</v>
      </c>
      <c r="T151" s="3" cm="1">
        <f t="array" ref="T151">SUMPRODUCT(IFERROR(TIMEVALUE(RIGHT(L151:R151,5))-TIMEVALUE(LEFT(L151:R151,5)),0))</f>
        <v>1.7708333333333335</v>
      </c>
    </row>
    <row r="152" spans="1:31" s="9" customFormat="1">
      <c r="A152" s="10" t="s">
        <v>179</v>
      </c>
      <c r="B152" s="10">
        <v>11</v>
      </c>
      <c r="C152" s="11" t="s">
        <v>22</v>
      </c>
      <c r="D152" s="10"/>
      <c r="E152" s="11" t="s">
        <v>30</v>
      </c>
      <c r="F152" s="11" t="s">
        <v>9</v>
      </c>
      <c r="G152" s="11" t="s">
        <v>9</v>
      </c>
      <c r="H152" s="11" t="s">
        <v>30</v>
      </c>
      <c r="I152" s="11" t="s">
        <v>30</v>
      </c>
      <c r="J152" s="11" t="s">
        <v>30</v>
      </c>
      <c r="K152" s="11" t="s">
        <v>30</v>
      </c>
      <c r="L152" s="11" t="s">
        <v>30</v>
      </c>
      <c r="M152" s="11" t="s">
        <v>9</v>
      </c>
      <c r="N152" s="11" t="s">
        <v>9</v>
      </c>
      <c r="O152" s="11" t="s">
        <v>30</v>
      </c>
      <c r="P152" s="11" t="s">
        <v>30</v>
      </c>
      <c r="Q152" s="11" t="s">
        <v>30</v>
      </c>
      <c r="R152" s="11" t="s">
        <v>30</v>
      </c>
      <c r="S152" s="8" cm="1">
        <f t="array" ref="S152">SUMPRODUCT(IFERROR(TIMEVALUE(RIGHT(E152:K152,5))-TIMEVALUE(LEFT(E152:K152,5)),0))</f>
        <v>1.7708333333333335</v>
      </c>
      <c r="T152" s="3" cm="1">
        <f t="array" ref="T152">SUMPRODUCT(IFERROR(TIMEVALUE(RIGHT(L152:R152,5))-TIMEVALUE(LEFT(L152:R152,5)),0))</f>
        <v>1.7708333333333335</v>
      </c>
      <c r="AE152" s="2"/>
    </row>
    <row r="153" spans="1:31">
      <c r="A153" s="10" t="s">
        <v>180</v>
      </c>
      <c r="B153" s="10">
        <v>11</v>
      </c>
      <c r="C153" s="11" t="s">
        <v>22</v>
      </c>
      <c r="D153" s="10"/>
      <c r="E153" s="11" t="s">
        <v>30</v>
      </c>
      <c r="F153" s="11" t="s">
        <v>30</v>
      </c>
      <c r="G153" s="11" t="s">
        <v>30</v>
      </c>
      <c r="H153" s="11" t="s">
        <v>30</v>
      </c>
      <c r="I153" s="11" t="s">
        <v>9</v>
      </c>
      <c r="J153" s="11" t="s">
        <v>9</v>
      </c>
      <c r="K153" s="11" t="s">
        <v>30</v>
      </c>
      <c r="L153" s="11" t="s">
        <v>30</v>
      </c>
      <c r="M153" s="11" t="s">
        <v>30</v>
      </c>
      <c r="N153" s="11" t="s">
        <v>30</v>
      </c>
      <c r="O153" s="11" t="s">
        <v>30</v>
      </c>
      <c r="P153" s="11" t="s">
        <v>9</v>
      </c>
      <c r="Q153" s="11" t="s">
        <v>9</v>
      </c>
      <c r="R153" s="11" t="s">
        <v>30</v>
      </c>
      <c r="S153" s="8" cm="1">
        <f t="array" ref="S153">SUMPRODUCT(IFERROR(TIMEVALUE(RIGHT(E153:K153,5))-TIMEVALUE(LEFT(E153:K153,5)),0))</f>
        <v>1.7708333333333335</v>
      </c>
      <c r="T153" s="3" cm="1">
        <f t="array" ref="T153">SUMPRODUCT(IFERROR(TIMEVALUE(RIGHT(L153:R153,5))-TIMEVALUE(LEFT(L153:R153,5)),0))</f>
        <v>1.7708333333333335</v>
      </c>
    </row>
    <row r="154" spans="1:31">
      <c r="A154" s="10" t="s">
        <v>181</v>
      </c>
      <c r="B154" s="10">
        <v>11</v>
      </c>
      <c r="C154" s="11" t="s">
        <v>22</v>
      </c>
      <c r="D154" s="10"/>
      <c r="E154" s="11" t="s">
        <v>30</v>
      </c>
      <c r="F154" s="11" t="s">
        <v>9</v>
      </c>
      <c r="G154" s="11" t="s">
        <v>9</v>
      </c>
      <c r="H154" s="11" t="s">
        <v>30</v>
      </c>
      <c r="I154" s="11" t="s">
        <v>30</v>
      </c>
      <c r="J154" s="11" t="s">
        <v>30</v>
      </c>
      <c r="K154" s="11" t="s">
        <v>30</v>
      </c>
      <c r="L154" s="11" t="s">
        <v>30</v>
      </c>
      <c r="M154" s="11" t="s">
        <v>9</v>
      </c>
      <c r="N154" s="11" t="s">
        <v>9</v>
      </c>
      <c r="O154" s="11" t="s">
        <v>30</v>
      </c>
      <c r="P154" s="11" t="s">
        <v>30</v>
      </c>
      <c r="Q154" s="11" t="s">
        <v>30</v>
      </c>
      <c r="R154" s="11" t="s">
        <v>30</v>
      </c>
      <c r="S154" s="8" cm="1">
        <f t="array" ref="S154">SUMPRODUCT(IFERROR(TIMEVALUE(RIGHT(E154:K154,5))-TIMEVALUE(LEFT(E154:K154,5)),0))</f>
        <v>1.7708333333333335</v>
      </c>
      <c r="T154" s="3" cm="1">
        <f t="array" ref="T154">SUMPRODUCT(IFERROR(TIMEVALUE(RIGHT(L154:R154,5))-TIMEVALUE(LEFT(L154:R154,5)),0))</f>
        <v>1.7708333333333335</v>
      </c>
    </row>
    <row r="155" spans="1:31">
      <c r="A155" s="10" t="s">
        <v>182</v>
      </c>
      <c r="B155" s="10">
        <v>11</v>
      </c>
      <c r="C155" s="11" t="s">
        <v>22</v>
      </c>
      <c r="D155" s="10"/>
      <c r="E155" s="11" t="s">
        <v>30</v>
      </c>
      <c r="F155" s="11" t="s">
        <v>30</v>
      </c>
      <c r="G155" s="11" t="s">
        <v>30</v>
      </c>
      <c r="H155" s="11" t="s">
        <v>30</v>
      </c>
      <c r="I155" s="11" t="s">
        <v>9</v>
      </c>
      <c r="J155" s="11" t="s">
        <v>9</v>
      </c>
      <c r="K155" s="11" t="s">
        <v>30</v>
      </c>
      <c r="L155" s="11" t="s">
        <v>30</v>
      </c>
      <c r="M155" s="11" t="s">
        <v>30</v>
      </c>
      <c r="N155" s="11" t="s">
        <v>30</v>
      </c>
      <c r="O155" s="11" t="s">
        <v>30</v>
      </c>
      <c r="P155" s="11" t="s">
        <v>9</v>
      </c>
      <c r="Q155" s="11" t="s">
        <v>9</v>
      </c>
      <c r="R155" s="11" t="s">
        <v>30</v>
      </c>
      <c r="S155" s="8" cm="1">
        <f t="array" ref="S155">SUMPRODUCT(IFERROR(TIMEVALUE(RIGHT(E155:K155,5))-TIMEVALUE(LEFT(E155:K155,5)),0))</f>
        <v>1.7708333333333335</v>
      </c>
      <c r="T155" s="3" cm="1">
        <f t="array" ref="T155">SUMPRODUCT(IFERROR(TIMEVALUE(RIGHT(L155:R155,5))-TIMEVALUE(LEFT(L155:R155,5)),0))</f>
        <v>1.7708333333333335</v>
      </c>
    </row>
    <row r="156" spans="1:31">
      <c r="A156" s="10" t="s">
        <v>183</v>
      </c>
      <c r="B156" s="10">
        <v>11</v>
      </c>
      <c r="C156" s="11" t="s">
        <v>22</v>
      </c>
      <c r="D156" s="10"/>
      <c r="E156" s="11" t="s">
        <v>30</v>
      </c>
      <c r="F156" s="11" t="s">
        <v>30</v>
      </c>
      <c r="G156" s="11" t="s">
        <v>30</v>
      </c>
      <c r="H156" s="11" t="s">
        <v>9</v>
      </c>
      <c r="I156" s="11" t="s">
        <v>9</v>
      </c>
      <c r="J156" s="11" t="s">
        <v>30</v>
      </c>
      <c r="K156" s="11" t="s">
        <v>30</v>
      </c>
      <c r="L156" s="11" t="s">
        <v>30</v>
      </c>
      <c r="M156" s="11" t="s">
        <v>30</v>
      </c>
      <c r="N156" s="11" t="s">
        <v>30</v>
      </c>
      <c r="O156" s="11" t="s">
        <v>9</v>
      </c>
      <c r="P156" s="11" t="s">
        <v>9</v>
      </c>
      <c r="Q156" s="11" t="s">
        <v>30</v>
      </c>
      <c r="R156" s="11" t="s">
        <v>30</v>
      </c>
      <c r="S156" s="8" cm="1">
        <f t="array" ref="S156">SUMPRODUCT(IFERROR(TIMEVALUE(RIGHT(E156:K156,5))-TIMEVALUE(LEFT(E156:K156,5)),0))</f>
        <v>1.7708333333333335</v>
      </c>
      <c r="T156" s="3" cm="1">
        <f t="array" ref="T156">SUMPRODUCT(IFERROR(TIMEVALUE(RIGHT(L156:R156,5))-TIMEVALUE(LEFT(L156:R156,5)),0))</f>
        <v>1.7708333333333335</v>
      </c>
    </row>
    <row r="157" spans="1:31">
      <c r="A157" s="10" t="s">
        <v>184</v>
      </c>
      <c r="B157" s="10">
        <v>11</v>
      </c>
      <c r="C157" s="11" t="s">
        <v>22</v>
      </c>
      <c r="D157" s="10"/>
      <c r="E157" s="11" t="s">
        <v>30</v>
      </c>
      <c r="F157" s="11" t="s">
        <v>9</v>
      </c>
      <c r="G157" s="11" t="s">
        <v>9</v>
      </c>
      <c r="H157" s="11" t="s">
        <v>30</v>
      </c>
      <c r="I157" s="11" t="s">
        <v>30</v>
      </c>
      <c r="J157" s="11" t="s">
        <v>30</v>
      </c>
      <c r="K157" s="11" t="s">
        <v>30</v>
      </c>
      <c r="L157" s="11" t="s">
        <v>30</v>
      </c>
      <c r="M157" s="11" t="s">
        <v>9</v>
      </c>
      <c r="N157" s="11" t="s">
        <v>9</v>
      </c>
      <c r="O157" s="11" t="s">
        <v>30</v>
      </c>
      <c r="P157" s="11" t="s">
        <v>30</v>
      </c>
      <c r="Q157" s="11" t="s">
        <v>30</v>
      </c>
      <c r="R157" s="11" t="s">
        <v>30</v>
      </c>
      <c r="S157" s="8" cm="1">
        <f t="array" ref="S157">SUMPRODUCT(IFERROR(TIMEVALUE(RIGHT(E157:K157,5))-TIMEVALUE(LEFT(E157:K157,5)),0))</f>
        <v>1.7708333333333335</v>
      </c>
      <c r="T157" s="3" cm="1">
        <f t="array" ref="T157">SUMPRODUCT(IFERROR(TIMEVALUE(RIGHT(L157:R157,5))-TIMEVALUE(LEFT(L157:R157,5)),0))</f>
        <v>1.7708333333333335</v>
      </c>
    </row>
    <row r="158" spans="1:31">
      <c r="A158" s="10" t="s">
        <v>185</v>
      </c>
      <c r="B158" s="10">
        <v>11</v>
      </c>
      <c r="C158" s="11" t="s">
        <v>22</v>
      </c>
      <c r="D158" s="10"/>
      <c r="E158" s="11" t="s">
        <v>9</v>
      </c>
      <c r="F158" s="11" t="s">
        <v>30</v>
      </c>
      <c r="G158" s="11" t="s">
        <v>30</v>
      </c>
      <c r="H158" s="11" t="s">
        <v>30</v>
      </c>
      <c r="I158" s="11" t="s">
        <v>30</v>
      </c>
      <c r="J158" s="11" t="s">
        <v>30</v>
      </c>
      <c r="K158" s="11" t="s">
        <v>9</v>
      </c>
      <c r="L158" s="11" t="s">
        <v>9</v>
      </c>
      <c r="M158" s="11" t="s">
        <v>30</v>
      </c>
      <c r="N158" s="11" t="s">
        <v>30</v>
      </c>
      <c r="O158" s="11" t="s">
        <v>30</v>
      </c>
      <c r="P158" s="11" t="s">
        <v>30</v>
      </c>
      <c r="Q158" s="11" t="s">
        <v>30</v>
      </c>
      <c r="R158" s="11" t="s">
        <v>9</v>
      </c>
      <c r="S158" s="8" cm="1">
        <f t="array" ref="S158">SUMPRODUCT(IFERROR(TIMEVALUE(RIGHT(E158:K158,5))-TIMEVALUE(LEFT(E158:K158,5)),0))</f>
        <v>1.7708333333333335</v>
      </c>
      <c r="T158" s="3" cm="1">
        <f t="array" ref="T158">SUMPRODUCT(IFERROR(TIMEVALUE(RIGHT(L158:R158,5))-TIMEVALUE(LEFT(L158:R158,5)),0))</f>
        <v>1.7708333333333335</v>
      </c>
    </row>
    <row r="159" spans="1:31">
      <c r="A159" s="10" t="s">
        <v>186</v>
      </c>
      <c r="B159" s="10">
        <v>11</v>
      </c>
      <c r="C159" s="11" t="s">
        <v>22</v>
      </c>
      <c r="D159" s="10"/>
      <c r="E159" s="11" t="s">
        <v>30</v>
      </c>
      <c r="F159" s="11" t="s">
        <v>30</v>
      </c>
      <c r="G159" s="11" t="s">
        <v>30</v>
      </c>
      <c r="H159" s="11" t="s">
        <v>9</v>
      </c>
      <c r="I159" s="11" t="s">
        <v>9</v>
      </c>
      <c r="J159" s="11" t="s">
        <v>30</v>
      </c>
      <c r="K159" s="11" t="s">
        <v>30</v>
      </c>
      <c r="L159" s="11" t="s">
        <v>30</v>
      </c>
      <c r="M159" s="11" t="s">
        <v>30</v>
      </c>
      <c r="N159" s="11" t="s">
        <v>30</v>
      </c>
      <c r="O159" s="11" t="s">
        <v>9</v>
      </c>
      <c r="P159" s="11" t="s">
        <v>9</v>
      </c>
      <c r="Q159" s="11" t="s">
        <v>30</v>
      </c>
      <c r="R159" s="11" t="s">
        <v>30</v>
      </c>
      <c r="S159" s="8" cm="1">
        <f t="array" ref="S159">SUMPRODUCT(IFERROR(TIMEVALUE(RIGHT(E159:K159,5))-TIMEVALUE(LEFT(E159:K159,5)),0))</f>
        <v>1.7708333333333335</v>
      </c>
      <c r="T159" s="3" cm="1">
        <f t="array" ref="T159">SUMPRODUCT(IFERROR(TIMEVALUE(RIGHT(L159:R159,5))-TIMEVALUE(LEFT(L159:R159,5)),0))</f>
        <v>1.7708333333333335</v>
      </c>
    </row>
    <row r="160" spans="1:31">
      <c r="A160" s="10" t="s">
        <v>187</v>
      </c>
      <c r="B160" s="10">
        <v>11</v>
      </c>
      <c r="C160" s="11" t="s">
        <v>22</v>
      </c>
      <c r="D160" s="10"/>
      <c r="E160" s="11" t="s">
        <v>30</v>
      </c>
      <c r="F160" s="11" t="s">
        <v>30</v>
      </c>
      <c r="G160" s="11" t="s">
        <v>9</v>
      </c>
      <c r="H160" s="11" t="s">
        <v>9</v>
      </c>
      <c r="I160" s="11" t="s">
        <v>30</v>
      </c>
      <c r="J160" s="11" t="s">
        <v>30</v>
      </c>
      <c r="K160" s="11" t="s">
        <v>30</v>
      </c>
      <c r="L160" s="11" t="s">
        <v>30</v>
      </c>
      <c r="M160" s="11" t="s">
        <v>30</v>
      </c>
      <c r="N160" s="11" t="s">
        <v>9</v>
      </c>
      <c r="O160" s="11" t="s">
        <v>9</v>
      </c>
      <c r="P160" s="11" t="s">
        <v>30</v>
      </c>
      <c r="Q160" s="11" t="s">
        <v>30</v>
      </c>
      <c r="R160" s="11" t="s">
        <v>30</v>
      </c>
      <c r="S160" s="8" cm="1">
        <f t="array" ref="S160">SUMPRODUCT(IFERROR(TIMEVALUE(RIGHT(E160:K160,5))-TIMEVALUE(LEFT(E160:K160,5)),0))</f>
        <v>1.7708333333333335</v>
      </c>
      <c r="T160" s="3" cm="1">
        <f t="array" ref="T160">SUMPRODUCT(IFERROR(TIMEVALUE(RIGHT(L160:R160,5))-TIMEVALUE(LEFT(L160:R160,5)),0))</f>
        <v>1.7708333333333335</v>
      </c>
    </row>
    <row r="161" spans="1:20">
      <c r="A161" s="10" t="s">
        <v>188</v>
      </c>
      <c r="B161" s="10">
        <v>11</v>
      </c>
      <c r="C161" s="11" t="s">
        <v>22</v>
      </c>
      <c r="D161" s="10"/>
      <c r="E161" s="11" t="s">
        <v>30</v>
      </c>
      <c r="F161" s="11" t="s">
        <v>30</v>
      </c>
      <c r="G161" s="11" t="s">
        <v>30</v>
      </c>
      <c r="H161" s="11" t="s">
        <v>30</v>
      </c>
      <c r="I161" s="11" t="s">
        <v>30</v>
      </c>
      <c r="J161" s="11" t="s">
        <v>9</v>
      </c>
      <c r="K161" s="11" t="s">
        <v>9</v>
      </c>
      <c r="L161" s="11" t="s">
        <v>30</v>
      </c>
      <c r="M161" s="11" t="s">
        <v>30</v>
      </c>
      <c r="N161" s="11" t="s">
        <v>30</v>
      </c>
      <c r="O161" s="11" t="s">
        <v>30</v>
      </c>
      <c r="P161" s="11" t="s">
        <v>30</v>
      </c>
      <c r="Q161" s="11" t="s">
        <v>9</v>
      </c>
      <c r="R161" s="11" t="s">
        <v>9</v>
      </c>
      <c r="S161" s="8" cm="1">
        <f t="array" ref="S161">SUMPRODUCT(IFERROR(TIMEVALUE(RIGHT(E161:K161,5))-TIMEVALUE(LEFT(E161:K161,5)),0))</f>
        <v>1.7708333333333335</v>
      </c>
      <c r="T161" s="3" cm="1">
        <f t="array" ref="T161">SUMPRODUCT(IFERROR(TIMEVALUE(RIGHT(L161:R161,5))-TIMEVALUE(LEFT(L161:R161,5)),0))</f>
        <v>1.7708333333333335</v>
      </c>
    </row>
    <row r="162" spans="1:20">
      <c r="A162" s="10" t="s">
        <v>189</v>
      </c>
      <c r="B162" s="10">
        <v>11</v>
      </c>
      <c r="C162" s="11" t="s">
        <v>22</v>
      </c>
      <c r="D162" s="10"/>
      <c r="E162" s="11" t="s">
        <v>9</v>
      </c>
      <c r="F162" s="11" t="s">
        <v>30</v>
      </c>
      <c r="G162" s="11" t="s">
        <v>30</v>
      </c>
      <c r="H162" s="11" t="s">
        <v>30</v>
      </c>
      <c r="I162" s="11" t="s">
        <v>30</v>
      </c>
      <c r="J162" s="11" t="s">
        <v>30</v>
      </c>
      <c r="K162" s="11" t="s">
        <v>9</v>
      </c>
      <c r="L162" s="11" t="s">
        <v>9</v>
      </c>
      <c r="M162" s="11" t="s">
        <v>30</v>
      </c>
      <c r="N162" s="11" t="s">
        <v>30</v>
      </c>
      <c r="O162" s="11" t="s">
        <v>30</v>
      </c>
      <c r="P162" s="11" t="s">
        <v>30</v>
      </c>
      <c r="Q162" s="11" t="s">
        <v>30</v>
      </c>
      <c r="R162" s="11" t="s">
        <v>9</v>
      </c>
      <c r="S162" s="8" cm="1">
        <f t="array" ref="S162">SUMPRODUCT(IFERROR(TIMEVALUE(RIGHT(E162:K162,5))-TIMEVALUE(LEFT(E162:K162,5)),0))</f>
        <v>1.7708333333333335</v>
      </c>
      <c r="T162" s="3" cm="1">
        <f t="array" ref="T162">SUMPRODUCT(IFERROR(TIMEVALUE(RIGHT(L162:R162,5))-TIMEVALUE(LEFT(L162:R162,5)),0))</f>
        <v>1.7708333333333335</v>
      </c>
    </row>
    <row r="163" spans="1:20">
      <c r="A163" s="10" t="s">
        <v>190</v>
      </c>
      <c r="B163" s="10">
        <v>12</v>
      </c>
      <c r="C163" s="11" t="s">
        <v>37</v>
      </c>
      <c r="D163" s="10"/>
      <c r="E163" s="11" t="s">
        <v>9</v>
      </c>
      <c r="F163" s="11" t="s">
        <v>8</v>
      </c>
      <c r="G163" s="11" t="s">
        <v>8</v>
      </c>
      <c r="H163" s="11" t="s">
        <v>8</v>
      </c>
      <c r="I163" s="11" t="s">
        <v>8</v>
      </c>
      <c r="J163" s="11" t="s">
        <v>8</v>
      </c>
      <c r="K163" s="11" t="s">
        <v>9</v>
      </c>
      <c r="L163" s="11" t="s">
        <v>9</v>
      </c>
      <c r="M163" s="11" t="s">
        <v>8</v>
      </c>
      <c r="N163" s="11" t="s">
        <v>8</v>
      </c>
      <c r="O163" s="11" t="s">
        <v>8</v>
      </c>
      <c r="P163" s="11" t="s">
        <v>8</v>
      </c>
      <c r="Q163" s="11" t="s">
        <v>8</v>
      </c>
      <c r="R163" s="11" t="s">
        <v>9</v>
      </c>
      <c r="S163" s="8" cm="1">
        <f t="array" ref="S163">SUMPRODUCT(IFERROR(TIMEVALUE(RIGHT(E163:K163,5))-TIMEVALUE(LEFT(E163:K163,5)),0))</f>
        <v>1.7708333333333335</v>
      </c>
      <c r="T163" s="3" cm="1">
        <f t="array" ref="T163">SUMPRODUCT(IFERROR(TIMEVALUE(RIGHT(L163:R163,5))-TIMEVALUE(LEFT(L163:R163,5)),0))</f>
        <v>1.7708333333333335</v>
      </c>
    </row>
    <row r="164" spans="1:20">
      <c r="A164" s="10" t="s">
        <v>191</v>
      </c>
      <c r="B164" s="10">
        <v>12</v>
      </c>
      <c r="C164" s="11" t="s">
        <v>37</v>
      </c>
      <c r="D164" s="10"/>
      <c r="E164" s="11" t="s">
        <v>8</v>
      </c>
      <c r="F164" s="11" t="s">
        <v>9</v>
      </c>
      <c r="G164" s="11" t="s">
        <v>9</v>
      </c>
      <c r="H164" s="11" t="s">
        <v>8</v>
      </c>
      <c r="I164" s="11" t="s">
        <v>8</v>
      </c>
      <c r="J164" s="11" t="s">
        <v>8</v>
      </c>
      <c r="K164" s="11" t="s">
        <v>8</v>
      </c>
      <c r="L164" s="11" t="s">
        <v>8</v>
      </c>
      <c r="M164" s="11" t="s">
        <v>9</v>
      </c>
      <c r="N164" s="11" t="s">
        <v>9</v>
      </c>
      <c r="O164" s="11" t="s">
        <v>8</v>
      </c>
      <c r="P164" s="11" t="s">
        <v>8</v>
      </c>
      <c r="Q164" s="11" t="s">
        <v>8</v>
      </c>
      <c r="R164" s="11" t="s">
        <v>8</v>
      </c>
      <c r="S164" s="8" cm="1">
        <f t="array" ref="S164">SUMPRODUCT(IFERROR(TIMEVALUE(RIGHT(E164:K164,5))-TIMEVALUE(LEFT(E164:K164,5)),0))</f>
        <v>1.7708333333333335</v>
      </c>
      <c r="T164" s="3" cm="1">
        <f t="array" ref="T164">SUMPRODUCT(IFERROR(TIMEVALUE(RIGHT(L164:R164,5))-TIMEVALUE(LEFT(L164:R164,5)),0))</f>
        <v>1.7708333333333335</v>
      </c>
    </row>
    <row r="165" spans="1:20">
      <c r="A165" s="10" t="s">
        <v>192</v>
      </c>
      <c r="B165" s="10">
        <v>12</v>
      </c>
      <c r="C165" s="11" t="s">
        <v>37</v>
      </c>
      <c r="D165" s="10"/>
      <c r="E165" s="11" t="s">
        <v>30</v>
      </c>
      <c r="F165" s="11" t="s">
        <v>30</v>
      </c>
      <c r="G165" s="11" t="s">
        <v>30</v>
      </c>
      <c r="H165" s="11" t="s">
        <v>9</v>
      </c>
      <c r="I165" s="11" t="s">
        <v>9</v>
      </c>
      <c r="J165" s="11" t="s">
        <v>30</v>
      </c>
      <c r="K165" s="11" t="s">
        <v>30</v>
      </c>
      <c r="L165" s="11" t="s">
        <v>30</v>
      </c>
      <c r="M165" s="11" t="s">
        <v>30</v>
      </c>
      <c r="N165" s="11" t="s">
        <v>30</v>
      </c>
      <c r="O165" s="11" t="s">
        <v>9</v>
      </c>
      <c r="P165" s="11" t="s">
        <v>9</v>
      </c>
      <c r="Q165" s="11" t="s">
        <v>30</v>
      </c>
      <c r="R165" s="11" t="s">
        <v>30</v>
      </c>
      <c r="S165" s="8" cm="1">
        <f t="array" ref="S165">SUMPRODUCT(IFERROR(TIMEVALUE(RIGHT(E165:K165,5))-TIMEVALUE(LEFT(E165:K165,5)),0))</f>
        <v>1.7708333333333335</v>
      </c>
      <c r="T165" s="3" cm="1">
        <f t="array" ref="T165">SUMPRODUCT(IFERROR(TIMEVALUE(RIGHT(L165:R165,5))-TIMEVALUE(LEFT(L165:R165,5)),0))</f>
        <v>1.7708333333333335</v>
      </c>
    </row>
    <row r="166" spans="1:20">
      <c r="A166" s="10" t="s">
        <v>193</v>
      </c>
      <c r="B166" s="10">
        <v>12</v>
      </c>
      <c r="C166" s="11" t="s">
        <v>37</v>
      </c>
      <c r="D166" s="10"/>
      <c r="E166" s="11" t="s">
        <v>30</v>
      </c>
      <c r="F166" s="11" t="s">
        <v>30</v>
      </c>
      <c r="G166" s="11" t="s">
        <v>30</v>
      </c>
      <c r="H166" s="11" t="s">
        <v>9</v>
      </c>
      <c r="I166" s="11" t="s">
        <v>9</v>
      </c>
      <c r="J166" s="11" t="s">
        <v>30</v>
      </c>
      <c r="K166" s="11" t="s">
        <v>30</v>
      </c>
      <c r="L166" s="11" t="s">
        <v>30</v>
      </c>
      <c r="M166" s="11" t="s">
        <v>30</v>
      </c>
      <c r="N166" s="11" t="s">
        <v>30</v>
      </c>
      <c r="O166" s="11" t="s">
        <v>9</v>
      </c>
      <c r="P166" s="11" t="s">
        <v>9</v>
      </c>
      <c r="Q166" s="11" t="s">
        <v>30</v>
      </c>
      <c r="R166" s="11" t="s">
        <v>30</v>
      </c>
      <c r="S166" s="8" cm="1">
        <f t="array" ref="S166">SUMPRODUCT(IFERROR(TIMEVALUE(RIGHT(E166:K166,5))-TIMEVALUE(LEFT(E166:K166,5)),0))</f>
        <v>1.7708333333333335</v>
      </c>
      <c r="T166" s="3" cm="1">
        <f t="array" ref="T166">SUMPRODUCT(IFERROR(TIMEVALUE(RIGHT(L166:R166,5))-TIMEVALUE(LEFT(L166:R166,5)),0))</f>
        <v>1.7708333333333335</v>
      </c>
    </row>
    <row r="167" spans="1:20">
      <c r="A167" s="10" t="s">
        <v>194</v>
      </c>
      <c r="B167" s="10">
        <v>12</v>
      </c>
      <c r="C167" s="11" t="s">
        <v>37</v>
      </c>
      <c r="D167" s="10"/>
      <c r="E167" s="11" t="s">
        <v>30</v>
      </c>
      <c r="F167" s="11" t="s">
        <v>30</v>
      </c>
      <c r="G167" s="11" t="s">
        <v>30</v>
      </c>
      <c r="H167" s="11" t="s">
        <v>30</v>
      </c>
      <c r="I167" s="11" t="s">
        <v>30</v>
      </c>
      <c r="J167" s="11" t="s">
        <v>9</v>
      </c>
      <c r="K167" s="11" t="s">
        <v>9</v>
      </c>
      <c r="L167" s="11" t="s">
        <v>30</v>
      </c>
      <c r="M167" s="11" t="s">
        <v>30</v>
      </c>
      <c r="N167" s="11" t="s">
        <v>30</v>
      </c>
      <c r="O167" s="11" t="s">
        <v>30</v>
      </c>
      <c r="P167" s="11" t="s">
        <v>30</v>
      </c>
      <c r="Q167" s="11" t="s">
        <v>9</v>
      </c>
      <c r="R167" s="11" t="s">
        <v>9</v>
      </c>
      <c r="S167" s="8" cm="1">
        <f t="array" ref="S167">SUMPRODUCT(IFERROR(TIMEVALUE(RIGHT(E167:K167,5))-TIMEVALUE(LEFT(E167:K167,5)),0))</f>
        <v>1.7708333333333335</v>
      </c>
      <c r="T167" s="3" cm="1">
        <f t="array" ref="T167">SUMPRODUCT(IFERROR(TIMEVALUE(RIGHT(L167:R167,5))-TIMEVALUE(LEFT(L167:R167,5)),0))</f>
        <v>1.7708333333333335</v>
      </c>
    </row>
    <row r="168" spans="1:20">
      <c r="A168" s="10" t="s">
        <v>195</v>
      </c>
      <c r="B168" s="10">
        <v>12</v>
      </c>
      <c r="C168" s="11" t="s">
        <v>37</v>
      </c>
      <c r="D168" s="10"/>
      <c r="E168" s="11" t="s">
        <v>30</v>
      </c>
      <c r="F168" s="11" t="s">
        <v>30</v>
      </c>
      <c r="G168" s="11" t="s">
        <v>30</v>
      </c>
      <c r="H168" s="11" t="s">
        <v>30</v>
      </c>
      <c r="I168" s="11" t="s">
        <v>9</v>
      </c>
      <c r="J168" s="11" t="s">
        <v>9</v>
      </c>
      <c r="K168" s="11" t="s">
        <v>30</v>
      </c>
      <c r="L168" s="11" t="s">
        <v>30</v>
      </c>
      <c r="M168" s="11" t="s">
        <v>30</v>
      </c>
      <c r="N168" s="11" t="s">
        <v>30</v>
      </c>
      <c r="O168" s="11" t="s">
        <v>30</v>
      </c>
      <c r="P168" s="11" t="s">
        <v>9</v>
      </c>
      <c r="Q168" s="11" t="s">
        <v>9</v>
      </c>
      <c r="R168" s="11" t="s">
        <v>30</v>
      </c>
      <c r="S168" s="8" cm="1">
        <f t="array" ref="S168">SUMPRODUCT(IFERROR(TIMEVALUE(RIGHT(E168:K168,5))-TIMEVALUE(LEFT(E168:K168,5)),0))</f>
        <v>1.7708333333333335</v>
      </c>
      <c r="T168" s="3" cm="1">
        <f t="array" ref="T168">SUMPRODUCT(IFERROR(TIMEVALUE(RIGHT(L168:R168,5))-TIMEVALUE(LEFT(L168:R168,5)),0))</f>
        <v>1.7708333333333335</v>
      </c>
    </row>
    <row r="169" spans="1:20">
      <c r="A169" s="10" t="s">
        <v>196</v>
      </c>
      <c r="B169" s="10">
        <v>12</v>
      </c>
      <c r="C169" s="11" t="s">
        <v>37</v>
      </c>
      <c r="D169" s="10"/>
      <c r="E169" s="11" t="s">
        <v>30</v>
      </c>
      <c r="F169" s="11" t="s">
        <v>9</v>
      </c>
      <c r="G169" s="11" t="s">
        <v>9</v>
      </c>
      <c r="H169" s="11" t="s">
        <v>30</v>
      </c>
      <c r="I169" s="11" t="s">
        <v>30</v>
      </c>
      <c r="J169" s="11" t="s">
        <v>30</v>
      </c>
      <c r="K169" s="11" t="s">
        <v>30</v>
      </c>
      <c r="L169" s="11" t="s">
        <v>30</v>
      </c>
      <c r="M169" s="11" t="s">
        <v>9</v>
      </c>
      <c r="N169" s="11" t="s">
        <v>9</v>
      </c>
      <c r="O169" s="11" t="s">
        <v>30</v>
      </c>
      <c r="P169" s="11" t="s">
        <v>30</v>
      </c>
      <c r="Q169" s="11" t="s">
        <v>30</v>
      </c>
      <c r="R169" s="11" t="s">
        <v>30</v>
      </c>
      <c r="S169" s="8" cm="1">
        <f t="array" ref="S169">SUMPRODUCT(IFERROR(TIMEVALUE(RIGHT(E169:K169,5))-TIMEVALUE(LEFT(E169:K169,5)),0))</f>
        <v>1.7708333333333335</v>
      </c>
      <c r="T169" s="3" cm="1">
        <f t="array" ref="T169">SUMPRODUCT(IFERROR(TIMEVALUE(RIGHT(L169:R169,5))-TIMEVALUE(LEFT(L169:R169,5)),0))</f>
        <v>1.7708333333333335</v>
      </c>
    </row>
    <row r="170" spans="1:20">
      <c r="A170" s="10" t="s">
        <v>197</v>
      </c>
      <c r="B170" s="10">
        <v>12</v>
      </c>
      <c r="C170" s="11" t="s">
        <v>37</v>
      </c>
      <c r="D170" s="10"/>
      <c r="E170" s="11" t="s">
        <v>9</v>
      </c>
      <c r="F170" s="11" t="s">
        <v>30</v>
      </c>
      <c r="G170" s="11" t="s">
        <v>30</v>
      </c>
      <c r="H170" s="11" t="s">
        <v>30</v>
      </c>
      <c r="I170" s="11" t="s">
        <v>30</v>
      </c>
      <c r="J170" s="11" t="s">
        <v>30</v>
      </c>
      <c r="K170" s="11" t="s">
        <v>9</v>
      </c>
      <c r="L170" s="11" t="s">
        <v>9</v>
      </c>
      <c r="M170" s="11" t="s">
        <v>30</v>
      </c>
      <c r="N170" s="11" t="s">
        <v>30</v>
      </c>
      <c r="O170" s="11" t="s">
        <v>30</v>
      </c>
      <c r="P170" s="11" t="s">
        <v>30</v>
      </c>
      <c r="Q170" s="11" t="s">
        <v>30</v>
      </c>
      <c r="R170" s="11" t="s">
        <v>9</v>
      </c>
      <c r="S170" s="8" cm="1">
        <f t="array" ref="S170">SUMPRODUCT(IFERROR(TIMEVALUE(RIGHT(E170:K170,5))-TIMEVALUE(LEFT(E170:K170,5)),0))</f>
        <v>1.7708333333333335</v>
      </c>
      <c r="T170" s="3" cm="1">
        <f t="array" ref="T170">SUMPRODUCT(IFERROR(TIMEVALUE(RIGHT(L170:R170,5))-TIMEVALUE(LEFT(L170:R170,5)),0))</f>
        <v>1.7708333333333335</v>
      </c>
    </row>
    <row r="171" spans="1:20">
      <c r="A171" s="10" t="s">
        <v>198</v>
      </c>
      <c r="B171" s="10">
        <v>12</v>
      </c>
      <c r="C171" s="11" t="s">
        <v>37</v>
      </c>
      <c r="D171" s="10"/>
      <c r="E171" s="11" t="s">
        <v>30</v>
      </c>
      <c r="F171" s="11" t="s">
        <v>30</v>
      </c>
      <c r="G171" s="11" t="s">
        <v>30</v>
      </c>
      <c r="H171" s="11" t="s">
        <v>30</v>
      </c>
      <c r="I171" s="11" t="s">
        <v>30</v>
      </c>
      <c r="J171" s="11" t="s">
        <v>9</v>
      </c>
      <c r="K171" s="11" t="s">
        <v>9</v>
      </c>
      <c r="L171" s="11" t="s">
        <v>30</v>
      </c>
      <c r="M171" s="11" t="s">
        <v>30</v>
      </c>
      <c r="N171" s="11" t="s">
        <v>30</v>
      </c>
      <c r="O171" s="11" t="s">
        <v>30</v>
      </c>
      <c r="P171" s="11" t="s">
        <v>30</v>
      </c>
      <c r="Q171" s="11" t="s">
        <v>9</v>
      </c>
      <c r="R171" s="11" t="s">
        <v>9</v>
      </c>
      <c r="S171" s="8" cm="1">
        <f t="array" ref="S171">SUMPRODUCT(IFERROR(TIMEVALUE(RIGHT(E171:K171,5))-TIMEVALUE(LEFT(E171:K171,5)),0))</f>
        <v>1.7708333333333335</v>
      </c>
      <c r="T171" s="3" cm="1">
        <f t="array" ref="T171">SUMPRODUCT(IFERROR(TIMEVALUE(RIGHT(L171:R171,5))-TIMEVALUE(LEFT(L171:R171,5)),0))</f>
        <v>1.7708333333333335</v>
      </c>
    </row>
    <row r="172" spans="1:20">
      <c r="A172" s="10" t="s">
        <v>199</v>
      </c>
      <c r="B172" s="10">
        <v>12</v>
      </c>
      <c r="C172" s="11" t="s">
        <v>37</v>
      </c>
      <c r="D172" s="10"/>
      <c r="E172" s="11" t="s">
        <v>30</v>
      </c>
      <c r="F172" s="11" t="s">
        <v>30</v>
      </c>
      <c r="G172" s="11" t="s">
        <v>30</v>
      </c>
      <c r="H172" s="11" t="s">
        <v>30</v>
      </c>
      <c r="I172" s="11" t="s">
        <v>30</v>
      </c>
      <c r="J172" s="11" t="s">
        <v>9</v>
      </c>
      <c r="K172" s="11" t="s">
        <v>9</v>
      </c>
      <c r="L172" s="11" t="s">
        <v>30</v>
      </c>
      <c r="M172" s="11" t="s">
        <v>30</v>
      </c>
      <c r="N172" s="11" t="s">
        <v>30</v>
      </c>
      <c r="O172" s="11" t="s">
        <v>30</v>
      </c>
      <c r="P172" s="11" t="s">
        <v>30</v>
      </c>
      <c r="Q172" s="11" t="s">
        <v>9</v>
      </c>
      <c r="R172" s="11" t="s">
        <v>9</v>
      </c>
      <c r="S172" s="8" cm="1">
        <f t="array" ref="S172">SUMPRODUCT(IFERROR(TIMEVALUE(RIGHT(E172:K172,5))-TIMEVALUE(LEFT(E172:K172,5)),0))</f>
        <v>1.7708333333333335</v>
      </c>
      <c r="T172" s="3" cm="1">
        <f t="array" ref="T172">SUMPRODUCT(IFERROR(TIMEVALUE(RIGHT(L172:R172,5))-TIMEVALUE(LEFT(L172:R172,5)),0))</f>
        <v>1.7708333333333335</v>
      </c>
    </row>
    <row r="173" spans="1:20">
      <c r="A173" s="10" t="s">
        <v>200</v>
      </c>
      <c r="B173" s="10">
        <v>12</v>
      </c>
      <c r="C173" s="11" t="s">
        <v>37</v>
      </c>
      <c r="D173" s="10"/>
      <c r="E173" s="11" t="s">
        <v>30</v>
      </c>
      <c r="F173" s="11" t="s">
        <v>30</v>
      </c>
      <c r="G173" s="11" t="s">
        <v>9</v>
      </c>
      <c r="H173" s="11" t="s">
        <v>9</v>
      </c>
      <c r="I173" s="11" t="s">
        <v>30</v>
      </c>
      <c r="J173" s="11" t="s">
        <v>30</v>
      </c>
      <c r="K173" s="11" t="s">
        <v>30</v>
      </c>
      <c r="L173" s="11" t="s">
        <v>30</v>
      </c>
      <c r="M173" s="11" t="s">
        <v>30</v>
      </c>
      <c r="N173" s="11" t="s">
        <v>9</v>
      </c>
      <c r="O173" s="11" t="s">
        <v>9</v>
      </c>
      <c r="P173" s="11" t="s">
        <v>30</v>
      </c>
      <c r="Q173" s="11" t="s">
        <v>30</v>
      </c>
      <c r="R173" s="11" t="s">
        <v>30</v>
      </c>
      <c r="S173" s="8" cm="1">
        <f t="array" ref="S173">SUMPRODUCT(IFERROR(TIMEVALUE(RIGHT(E173:K173,5))-TIMEVALUE(LEFT(E173:K173,5)),0))</f>
        <v>1.7708333333333335</v>
      </c>
      <c r="T173" s="3" cm="1">
        <f t="array" ref="T173">SUMPRODUCT(IFERROR(TIMEVALUE(RIGHT(L173:R173,5))-TIMEVALUE(LEFT(L173:R173,5)),0))</f>
        <v>1.7708333333333335</v>
      </c>
    </row>
    <row r="174" spans="1:20">
      <c r="A174" s="10" t="s">
        <v>201</v>
      </c>
      <c r="B174" s="10">
        <v>12</v>
      </c>
      <c r="C174" s="11" t="s">
        <v>37</v>
      </c>
      <c r="D174" s="10"/>
      <c r="E174" s="11" t="s">
        <v>9</v>
      </c>
      <c r="F174" s="11" t="s">
        <v>30</v>
      </c>
      <c r="G174" s="11" t="s">
        <v>30</v>
      </c>
      <c r="H174" s="11" t="s">
        <v>30</v>
      </c>
      <c r="I174" s="11" t="s">
        <v>30</v>
      </c>
      <c r="J174" s="11" t="s">
        <v>30</v>
      </c>
      <c r="K174" s="11" t="s">
        <v>9</v>
      </c>
      <c r="L174" s="11" t="s">
        <v>9</v>
      </c>
      <c r="M174" s="11" t="s">
        <v>30</v>
      </c>
      <c r="N174" s="11" t="s">
        <v>30</v>
      </c>
      <c r="O174" s="11" t="s">
        <v>30</v>
      </c>
      <c r="P174" s="11" t="s">
        <v>30</v>
      </c>
      <c r="Q174" s="11" t="s">
        <v>30</v>
      </c>
      <c r="R174" s="11" t="s">
        <v>9</v>
      </c>
      <c r="S174" s="8" cm="1">
        <f t="array" ref="S174">SUMPRODUCT(IFERROR(TIMEVALUE(RIGHT(E174:K174,5))-TIMEVALUE(LEFT(E174:K174,5)),0))</f>
        <v>1.7708333333333335</v>
      </c>
      <c r="T174" s="3" cm="1">
        <f t="array" ref="T174">SUMPRODUCT(IFERROR(TIMEVALUE(RIGHT(L174:R174,5))-TIMEVALUE(LEFT(L174:R174,5)),0))</f>
        <v>1.7708333333333335</v>
      </c>
    </row>
    <row r="175" spans="1:20">
      <c r="A175" s="10" t="s">
        <v>202</v>
      </c>
      <c r="B175" s="10">
        <v>12</v>
      </c>
      <c r="C175" s="11" t="s">
        <v>37</v>
      </c>
      <c r="D175" s="10"/>
      <c r="E175" s="11" t="s">
        <v>30</v>
      </c>
      <c r="F175" s="11" t="s">
        <v>9</v>
      </c>
      <c r="G175" s="11" t="s">
        <v>9</v>
      </c>
      <c r="H175" s="11" t="s">
        <v>30</v>
      </c>
      <c r="I175" s="11" t="s">
        <v>30</v>
      </c>
      <c r="J175" s="11" t="s">
        <v>30</v>
      </c>
      <c r="K175" s="11" t="s">
        <v>30</v>
      </c>
      <c r="L175" s="11" t="s">
        <v>30</v>
      </c>
      <c r="M175" s="11" t="s">
        <v>9</v>
      </c>
      <c r="N175" s="11" t="s">
        <v>9</v>
      </c>
      <c r="O175" s="11" t="s">
        <v>30</v>
      </c>
      <c r="P175" s="11" t="s">
        <v>30</v>
      </c>
      <c r="Q175" s="11" t="s">
        <v>30</v>
      </c>
      <c r="R175" s="11" t="s">
        <v>30</v>
      </c>
      <c r="S175" s="8" cm="1">
        <f t="array" ref="S175">SUMPRODUCT(IFERROR(TIMEVALUE(RIGHT(E175:K175,5))-TIMEVALUE(LEFT(E175:K175,5)),0))</f>
        <v>1.7708333333333335</v>
      </c>
      <c r="T175" s="3" cm="1">
        <f t="array" ref="T175">SUMPRODUCT(IFERROR(TIMEVALUE(RIGHT(L175:R175,5))-TIMEVALUE(LEFT(L175:R175,5)),0))</f>
        <v>1.7708333333333335</v>
      </c>
    </row>
    <row r="176" spans="1:20">
      <c r="A176" s="10" t="s">
        <v>203</v>
      </c>
      <c r="B176" s="10">
        <v>12</v>
      </c>
      <c r="C176" s="11" t="s">
        <v>37</v>
      </c>
      <c r="D176" s="10"/>
      <c r="E176" s="11" t="s">
        <v>9</v>
      </c>
      <c r="F176" s="11" t="s">
        <v>9</v>
      </c>
      <c r="G176" s="11" t="s">
        <v>12</v>
      </c>
      <c r="H176" s="11" t="s">
        <v>12</v>
      </c>
      <c r="I176" s="11" t="s">
        <v>12</v>
      </c>
      <c r="J176" s="11" t="s">
        <v>12</v>
      </c>
      <c r="K176" s="11" t="s">
        <v>12</v>
      </c>
      <c r="L176" s="11" t="s">
        <v>9</v>
      </c>
      <c r="M176" s="11" t="s">
        <v>9</v>
      </c>
      <c r="N176" s="11" t="s">
        <v>12</v>
      </c>
      <c r="O176" s="11" t="s">
        <v>12</v>
      </c>
      <c r="P176" s="11" t="s">
        <v>12</v>
      </c>
      <c r="Q176" s="11" t="s">
        <v>12</v>
      </c>
      <c r="R176" s="11" t="s">
        <v>12</v>
      </c>
      <c r="S176" s="8" cm="1">
        <f t="array" ref="S176">SUMPRODUCT(IFERROR(TIMEVALUE(RIGHT(E176:K176,5))-TIMEVALUE(LEFT(E176:K176,5)),0))</f>
        <v>1.770833333333333</v>
      </c>
      <c r="T176" s="3" cm="1">
        <f t="array" ref="T176">SUMPRODUCT(IFERROR(TIMEVALUE(RIGHT(L176:R176,5))-TIMEVALUE(LEFT(L176:R176,5)),0))</f>
        <v>1.770833333333333</v>
      </c>
    </row>
    <row r="177" spans="1:20">
      <c r="A177" s="10" t="s">
        <v>204</v>
      </c>
      <c r="B177" s="10">
        <v>13</v>
      </c>
      <c r="C177" s="11" t="s">
        <v>19</v>
      </c>
      <c r="D177" s="10"/>
      <c r="E177" s="11" t="s">
        <v>8</v>
      </c>
      <c r="F177" s="11" t="s">
        <v>8</v>
      </c>
      <c r="G177" s="11" t="s">
        <v>8</v>
      </c>
      <c r="H177" s="11" t="s">
        <v>8</v>
      </c>
      <c r="I177" s="11" t="s">
        <v>9</v>
      </c>
      <c r="J177" s="11" t="s">
        <v>9</v>
      </c>
      <c r="K177" s="11" t="s">
        <v>8</v>
      </c>
      <c r="L177" s="11" t="s">
        <v>8</v>
      </c>
      <c r="M177" s="11" t="s">
        <v>8</v>
      </c>
      <c r="N177" s="11" t="s">
        <v>8</v>
      </c>
      <c r="O177" s="11" t="s">
        <v>8</v>
      </c>
      <c r="P177" s="11" t="s">
        <v>9</v>
      </c>
      <c r="Q177" s="11" t="s">
        <v>9</v>
      </c>
      <c r="R177" s="11" t="s">
        <v>8</v>
      </c>
      <c r="S177" s="8" cm="1">
        <f t="array" ref="S177">SUMPRODUCT(IFERROR(TIMEVALUE(RIGHT(E177:K177,5))-TIMEVALUE(LEFT(E177:K177,5)),0))</f>
        <v>1.7708333333333335</v>
      </c>
      <c r="T177" s="3" cm="1">
        <f t="array" ref="T177">SUMPRODUCT(IFERROR(TIMEVALUE(RIGHT(L177:R177,5))-TIMEVALUE(LEFT(L177:R177,5)),0))</f>
        <v>1.7708333333333335</v>
      </c>
    </row>
    <row r="178" spans="1:20">
      <c r="A178" s="10" t="s">
        <v>205</v>
      </c>
      <c r="B178" s="10">
        <v>13</v>
      </c>
      <c r="C178" s="11" t="s">
        <v>19</v>
      </c>
      <c r="D178" s="10"/>
      <c r="E178" s="11" t="s">
        <v>8</v>
      </c>
      <c r="F178" s="11" t="s">
        <v>8</v>
      </c>
      <c r="G178" s="11" t="s">
        <v>8</v>
      </c>
      <c r="H178" s="11" t="s">
        <v>8</v>
      </c>
      <c r="I178" s="11" t="s">
        <v>9</v>
      </c>
      <c r="J178" s="11" t="s">
        <v>9</v>
      </c>
      <c r="K178" s="11" t="s">
        <v>8</v>
      </c>
      <c r="L178" s="11" t="s">
        <v>8</v>
      </c>
      <c r="M178" s="11" t="s">
        <v>8</v>
      </c>
      <c r="N178" s="11" t="s">
        <v>8</v>
      </c>
      <c r="O178" s="11" t="s">
        <v>8</v>
      </c>
      <c r="P178" s="11" t="s">
        <v>9</v>
      </c>
      <c r="Q178" s="11" t="s">
        <v>9</v>
      </c>
      <c r="R178" s="11" t="s">
        <v>8</v>
      </c>
      <c r="S178" s="8" cm="1">
        <f t="array" ref="S178">SUMPRODUCT(IFERROR(TIMEVALUE(RIGHT(E178:K178,5))-TIMEVALUE(LEFT(E178:K178,5)),0))</f>
        <v>1.7708333333333335</v>
      </c>
      <c r="T178" s="3" cm="1">
        <f t="array" ref="T178">SUMPRODUCT(IFERROR(TIMEVALUE(RIGHT(L178:R178,5))-TIMEVALUE(LEFT(L178:R178,5)),0))</f>
        <v>1.7708333333333335</v>
      </c>
    </row>
    <row r="179" spans="1:20">
      <c r="A179" s="10" t="s">
        <v>206</v>
      </c>
      <c r="B179" s="10">
        <v>13</v>
      </c>
      <c r="C179" s="11" t="s">
        <v>19</v>
      </c>
      <c r="D179" s="10"/>
      <c r="E179" s="11" t="s">
        <v>8</v>
      </c>
      <c r="F179" s="11" t="s">
        <v>8</v>
      </c>
      <c r="G179" s="11" t="s">
        <v>8</v>
      </c>
      <c r="H179" s="11" t="s">
        <v>8</v>
      </c>
      <c r="I179" s="11" t="s">
        <v>8</v>
      </c>
      <c r="J179" s="11" t="s">
        <v>9</v>
      </c>
      <c r="K179" s="11" t="s">
        <v>9</v>
      </c>
      <c r="L179" s="11" t="s">
        <v>8</v>
      </c>
      <c r="M179" s="11" t="s">
        <v>8</v>
      </c>
      <c r="N179" s="11" t="s">
        <v>8</v>
      </c>
      <c r="O179" s="11" t="s">
        <v>8</v>
      </c>
      <c r="P179" s="11" t="s">
        <v>8</v>
      </c>
      <c r="Q179" s="11" t="s">
        <v>9</v>
      </c>
      <c r="R179" s="11" t="s">
        <v>9</v>
      </c>
      <c r="S179" s="8" cm="1">
        <f t="array" ref="S179">SUMPRODUCT(IFERROR(TIMEVALUE(RIGHT(E179:K179,5))-TIMEVALUE(LEFT(E179:K179,5)),0))</f>
        <v>1.7708333333333335</v>
      </c>
      <c r="T179" s="3" cm="1">
        <f t="array" ref="T179">SUMPRODUCT(IFERROR(TIMEVALUE(RIGHT(L179:R179,5))-TIMEVALUE(LEFT(L179:R179,5)),0))</f>
        <v>1.7708333333333335</v>
      </c>
    </row>
    <row r="180" spans="1:20">
      <c r="A180" s="10" t="s">
        <v>207</v>
      </c>
      <c r="B180" s="10">
        <v>13</v>
      </c>
      <c r="C180" s="11" t="s">
        <v>19</v>
      </c>
      <c r="D180" s="10"/>
      <c r="E180" s="11" t="s">
        <v>8</v>
      </c>
      <c r="F180" s="11" t="s">
        <v>8</v>
      </c>
      <c r="G180" s="11" t="s">
        <v>8</v>
      </c>
      <c r="H180" s="11" t="s">
        <v>8</v>
      </c>
      <c r="I180" s="11" t="s">
        <v>8</v>
      </c>
      <c r="J180" s="11" t="s">
        <v>9</v>
      </c>
      <c r="K180" s="11" t="s">
        <v>9</v>
      </c>
      <c r="L180" s="11" t="s">
        <v>8</v>
      </c>
      <c r="M180" s="11" t="s">
        <v>8</v>
      </c>
      <c r="N180" s="11" t="s">
        <v>8</v>
      </c>
      <c r="O180" s="11" t="s">
        <v>8</v>
      </c>
      <c r="P180" s="11" t="s">
        <v>8</v>
      </c>
      <c r="Q180" s="11" t="s">
        <v>9</v>
      </c>
      <c r="R180" s="11" t="s">
        <v>9</v>
      </c>
      <c r="S180" s="8" cm="1">
        <f t="array" ref="S180">SUMPRODUCT(IFERROR(TIMEVALUE(RIGHT(E180:K180,5))-TIMEVALUE(LEFT(E180:K180,5)),0))</f>
        <v>1.7708333333333335</v>
      </c>
      <c r="T180" s="3" cm="1">
        <f t="array" ref="T180">SUMPRODUCT(IFERROR(TIMEVALUE(RIGHT(L180:R180,5))-TIMEVALUE(LEFT(L180:R180,5)),0))</f>
        <v>1.7708333333333335</v>
      </c>
    </row>
    <row r="181" spans="1:20">
      <c r="A181" s="10" t="s">
        <v>208</v>
      </c>
      <c r="B181" s="10">
        <v>13</v>
      </c>
      <c r="C181" s="11" t="s">
        <v>19</v>
      </c>
      <c r="D181" s="10"/>
      <c r="E181" s="11" t="s">
        <v>12</v>
      </c>
      <c r="F181" s="11" t="s">
        <v>12</v>
      </c>
      <c r="G181" s="11" t="s">
        <v>12</v>
      </c>
      <c r="H181" s="11" t="s">
        <v>12</v>
      </c>
      <c r="I181" s="11" t="s">
        <v>12</v>
      </c>
      <c r="J181" s="11" t="s">
        <v>9</v>
      </c>
      <c r="K181" s="11" t="s">
        <v>9</v>
      </c>
      <c r="L181" s="11" t="s">
        <v>8</v>
      </c>
      <c r="M181" s="11" t="s">
        <v>8</v>
      </c>
      <c r="N181" s="11" t="s">
        <v>8</v>
      </c>
      <c r="O181" s="11" t="s">
        <v>8</v>
      </c>
      <c r="P181" s="11" t="s">
        <v>8</v>
      </c>
      <c r="Q181" s="11" t="s">
        <v>9</v>
      </c>
      <c r="R181" s="11" t="s">
        <v>9</v>
      </c>
      <c r="S181" s="8" cm="1">
        <f t="array" ref="S181">SUMPRODUCT(IFERROR(TIMEVALUE(RIGHT(E181:K181,5))-TIMEVALUE(LEFT(E181:K181,5)),0))</f>
        <v>1.770833333333333</v>
      </c>
      <c r="T181" s="3" cm="1">
        <f t="array" ref="T181">SUMPRODUCT(IFERROR(TIMEVALUE(RIGHT(L181:R181,5))-TIMEVALUE(LEFT(L181:R181,5)),0))</f>
        <v>1.7708333333333335</v>
      </c>
    </row>
    <row r="182" spans="1:20">
      <c r="A182" s="10" t="s">
        <v>209</v>
      </c>
      <c r="B182" s="10">
        <v>13</v>
      </c>
      <c r="C182" s="11" t="s">
        <v>19</v>
      </c>
      <c r="D182" s="10"/>
      <c r="E182" s="11" t="s">
        <v>9</v>
      </c>
      <c r="F182" s="11" t="s">
        <v>9</v>
      </c>
      <c r="G182" s="11" t="s">
        <v>8</v>
      </c>
      <c r="H182" s="11" t="s">
        <v>8</v>
      </c>
      <c r="I182" s="11" t="s">
        <v>8</v>
      </c>
      <c r="J182" s="11" t="s">
        <v>8</v>
      </c>
      <c r="K182" s="11" t="s">
        <v>8</v>
      </c>
      <c r="L182" s="11" t="s">
        <v>9</v>
      </c>
      <c r="M182" s="11" t="s">
        <v>9</v>
      </c>
      <c r="N182" s="11" t="s">
        <v>8</v>
      </c>
      <c r="O182" s="11" t="s">
        <v>8</v>
      </c>
      <c r="P182" s="11" t="s">
        <v>8</v>
      </c>
      <c r="Q182" s="11" t="s">
        <v>8</v>
      </c>
      <c r="R182" s="11" t="s">
        <v>8</v>
      </c>
      <c r="S182" s="8" cm="1">
        <f t="array" ref="S182">SUMPRODUCT(IFERROR(TIMEVALUE(RIGHT(E182:K182,5))-TIMEVALUE(LEFT(E182:K182,5)),0))</f>
        <v>1.7708333333333335</v>
      </c>
      <c r="T182" s="3" cm="1">
        <f t="array" ref="T182">SUMPRODUCT(IFERROR(TIMEVALUE(RIGHT(L182:R182,5))-TIMEVALUE(LEFT(L182:R182,5)),0))</f>
        <v>1.7708333333333335</v>
      </c>
    </row>
    <row r="183" spans="1:20">
      <c r="A183" s="10" t="s">
        <v>210</v>
      </c>
      <c r="B183" s="10">
        <v>13</v>
      </c>
      <c r="C183" s="11" t="s">
        <v>19</v>
      </c>
      <c r="D183" s="10"/>
      <c r="E183" s="11" t="s">
        <v>8</v>
      </c>
      <c r="F183" s="11" t="s">
        <v>8</v>
      </c>
      <c r="G183" s="11" t="s">
        <v>8</v>
      </c>
      <c r="H183" s="11" t="s">
        <v>8</v>
      </c>
      <c r="I183" s="11" t="s">
        <v>8</v>
      </c>
      <c r="J183" s="11" t="s">
        <v>9</v>
      </c>
      <c r="K183" s="11" t="s">
        <v>9</v>
      </c>
      <c r="L183" s="11" t="s">
        <v>8</v>
      </c>
      <c r="M183" s="11" t="s">
        <v>8</v>
      </c>
      <c r="N183" s="11" t="s">
        <v>8</v>
      </c>
      <c r="O183" s="11" t="s">
        <v>8</v>
      </c>
      <c r="P183" s="11" t="s">
        <v>8</v>
      </c>
      <c r="Q183" s="11" t="s">
        <v>9</v>
      </c>
      <c r="R183" s="11" t="s">
        <v>9</v>
      </c>
      <c r="S183" s="8" cm="1">
        <f t="array" ref="S183">SUMPRODUCT(IFERROR(TIMEVALUE(RIGHT(E183:K183,5))-TIMEVALUE(LEFT(E183:K183,5)),0))</f>
        <v>1.7708333333333335</v>
      </c>
      <c r="T183" s="3" cm="1">
        <f t="array" ref="T183">SUMPRODUCT(IFERROR(TIMEVALUE(RIGHT(L183:R183,5))-TIMEVALUE(LEFT(L183:R183,5)),0))</f>
        <v>1.7708333333333335</v>
      </c>
    </row>
    <row r="184" spans="1:20">
      <c r="A184" s="10" t="s">
        <v>211</v>
      </c>
      <c r="B184" s="10">
        <v>13</v>
      </c>
      <c r="C184" s="11" t="s">
        <v>19</v>
      </c>
      <c r="D184" s="10"/>
      <c r="E184" s="11" t="s">
        <v>8</v>
      </c>
      <c r="F184" s="11" t="s">
        <v>8</v>
      </c>
      <c r="G184" s="11" t="s">
        <v>8</v>
      </c>
      <c r="H184" s="11" t="s">
        <v>8</v>
      </c>
      <c r="I184" s="11" t="s">
        <v>8</v>
      </c>
      <c r="J184" s="11" t="s">
        <v>9</v>
      </c>
      <c r="K184" s="11" t="s">
        <v>9</v>
      </c>
      <c r="L184" s="11" t="s">
        <v>8</v>
      </c>
      <c r="M184" s="11" t="s">
        <v>8</v>
      </c>
      <c r="N184" s="11" t="s">
        <v>8</v>
      </c>
      <c r="O184" s="11" t="s">
        <v>8</v>
      </c>
      <c r="P184" s="11" t="s">
        <v>8</v>
      </c>
      <c r="Q184" s="11" t="s">
        <v>9</v>
      </c>
      <c r="R184" s="11" t="s">
        <v>9</v>
      </c>
      <c r="S184" s="8" cm="1">
        <f t="array" ref="S184">SUMPRODUCT(IFERROR(TIMEVALUE(RIGHT(E184:K184,5))-TIMEVALUE(LEFT(E184:K184,5)),0))</f>
        <v>1.7708333333333335</v>
      </c>
      <c r="T184" s="3" cm="1">
        <f t="array" ref="T184">SUMPRODUCT(IFERROR(TIMEVALUE(RIGHT(L184:R184,5))-TIMEVALUE(LEFT(L184:R184,5)),0))</f>
        <v>1.7708333333333335</v>
      </c>
    </row>
    <row r="185" spans="1:20">
      <c r="A185" s="10" t="s">
        <v>212</v>
      </c>
      <c r="B185" s="10">
        <v>13</v>
      </c>
      <c r="C185" s="11" t="s">
        <v>19</v>
      </c>
      <c r="D185" s="10"/>
      <c r="E185" s="11" t="s">
        <v>9</v>
      </c>
      <c r="F185" s="11" t="s">
        <v>8</v>
      </c>
      <c r="G185" s="11" t="s">
        <v>8</v>
      </c>
      <c r="H185" s="11" t="s">
        <v>8</v>
      </c>
      <c r="I185" s="11" t="s">
        <v>8</v>
      </c>
      <c r="J185" s="11" t="s">
        <v>8</v>
      </c>
      <c r="K185" s="11" t="s">
        <v>9</v>
      </c>
      <c r="L185" s="11" t="s">
        <v>9</v>
      </c>
      <c r="M185" s="11" t="s">
        <v>8</v>
      </c>
      <c r="N185" s="11" t="s">
        <v>8</v>
      </c>
      <c r="O185" s="11" t="s">
        <v>8</v>
      </c>
      <c r="P185" s="11" t="s">
        <v>8</v>
      </c>
      <c r="Q185" s="11" t="s">
        <v>8</v>
      </c>
      <c r="R185" s="11" t="s">
        <v>9</v>
      </c>
      <c r="S185" s="8" cm="1">
        <f t="array" ref="S185">SUMPRODUCT(IFERROR(TIMEVALUE(RIGHT(E185:K185,5))-TIMEVALUE(LEFT(E185:K185,5)),0))</f>
        <v>1.7708333333333335</v>
      </c>
      <c r="T185" s="3" cm="1">
        <f t="array" ref="T185">SUMPRODUCT(IFERROR(TIMEVALUE(RIGHT(L185:R185,5))-TIMEVALUE(LEFT(L185:R185,5)),0))</f>
        <v>1.7708333333333335</v>
      </c>
    </row>
    <row r="186" spans="1:20">
      <c r="A186" s="10" t="s">
        <v>213</v>
      </c>
      <c r="B186" s="10">
        <v>13</v>
      </c>
      <c r="C186" s="11" t="s">
        <v>19</v>
      </c>
      <c r="D186" s="10"/>
      <c r="E186" s="11" t="s">
        <v>84</v>
      </c>
      <c r="F186" s="11" t="s">
        <v>9</v>
      </c>
      <c r="G186" s="11" t="s">
        <v>9</v>
      </c>
      <c r="H186" s="11" t="s">
        <v>84</v>
      </c>
      <c r="I186" s="11" t="s">
        <v>84</v>
      </c>
      <c r="J186" s="11" t="s">
        <v>84</v>
      </c>
      <c r="K186" s="11" t="s">
        <v>84</v>
      </c>
      <c r="L186" s="11" t="s">
        <v>84</v>
      </c>
      <c r="M186" s="11" t="s">
        <v>9</v>
      </c>
      <c r="N186" s="11" t="s">
        <v>9</v>
      </c>
      <c r="O186" s="11" t="s">
        <v>84</v>
      </c>
      <c r="P186" s="11" t="s">
        <v>84</v>
      </c>
      <c r="Q186" s="11" t="s">
        <v>84</v>
      </c>
      <c r="R186" s="11" t="s">
        <v>84</v>
      </c>
      <c r="S186" s="8" cm="1">
        <f t="array" ref="S186">SUMPRODUCT(IFERROR(TIMEVALUE(RIGHT(E186:K186,5))-TIMEVALUE(LEFT(E186:K186,5)),0))</f>
        <v>1.7708333333333335</v>
      </c>
      <c r="T186" s="3" cm="1">
        <f t="array" ref="T186">SUMPRODUCT(IFERROR(TIMEVALUE(RIGHT(L186:R186,5))-TIMEVALUE(LEFT(L186:R186,5)),0))</f>
        <v>1.7708333333333335</v>
      </c>
    </row>
    <row r="187" spans="1:20">
      <c r="A187" s="10" t="s">
        <v>214</v>
      </c>
      <c r="B187" s="10">
        <v>13</v>
      </c>
      <c r="C187" s="11" t="s">
        <v>19</v>
      </c>
      <c r="D187" s="10"/>
      <c r="E187" s="11" t="s">
        <v>9</v>
      </c>
      <c r="F187" s="11" t="s">
        <v>84</v>
      </c>
      <c r="G187" s="11" t="s">
        <v>84</v>
      </c>
      <c r="H187" s="11" t="s">
        <v>84</v>
      </c>
      <c r="I187" s="11" t="s">
        <v>84</v>
      </c>
      <c r="J187" s="11" t="s">
        <v>84</v>
      </c>
      <c r="K187" s="11" t="s">
        <v>9</v>
      </c>
      <c r="L187" s="11" t="s">
        <v>9</v>
      </c>
      <c r="M187" s="11" t="s">
        <v>84</v>
      </c>
      <c r="N187" s="11" t="s">
        <v>84</v>
      </c>
      <c r="O187" s="11" t="s">
        <v>84</v>
      </c>
      <c r="P187" s="11" t="s">
        <v>84</v>
      </c>
      <c r="Q187" s="11" t="s">
        <v>84</v>
      </c>
      <c r="R187" s="11" t="s">
        <v>9</v>
      </c>
      <c r="S187" s="8" cm="1">
        <f t="array" ref="S187">SUMPRODUCT(IFERROR(TIMEVALUE(RIGHT(E187:K187,5))-TIMEVALUE(LEFT(E187:K187,5)),0))</f>
        <v>1.7708333333333335</v>
      </c>
      <c r="T187" s="3" cm="1">
        <f t="array" ref="T187">SUMPRODUCT(IFERROR(TIMEVALUE(RIGHT(L187:R187,5))-TIMEVALUE(LEFT(L187:R187,5)),0))</f>
        <v>1.7708333333333335</v>
      </c>
    </row>
    <row r="188" spans="1:20">
      <c r="A188" s="10" t="s">
        <v>215</v>
      </c>
      <c r="B188" s="10">
        <v>13</v>
      </c>
      <c r="C188" s="11" t="s">
        <v>19</v>
      </c>
      <c r="D188" s="10"/>
      <c r="E188" s="11" t="s">
        <v>9</v>
      </c>
      <c r="F188" s="11" t="s">
        <v>84</v>
      </c>
      <c r="G188" s="11" t="s">
        <v>84</v>
      </c>
      <c r="H188" s="11" t="s">
        <v>84</v>
      </c>
      <c r="I188" s="11" t="s">
        <v>84</v>
      </c>
      <c r="J188" s="11" t="s">
        <v>84</v>
      </c>
      <c r="K188" s="11" t="s">
        <v>9</v>
      </c>
      <c r="L188" s="11" t="s">
        <v>9</v>
      </c>
      <c r="M188" s="11" t="s">
        <v>84</v>
      </c>
      <c r="N188" s="11" t="s">
        <v>84</v>
      </c>
      <c r="O188" s="11" t="s">
        <v>84</v>
      </c>
      <c r="P188" s="11" t="s">
        <v>84</v>
      </c>
      <c r="Q188" s="11" t="s">
        <v>84</v>
      </c>
      <c r="R188" s="11" t="s">
        <v>9</v>
      </c>
      <c r="S188" s="8" cm="1">
        <f t="array" ref="S188">SUMPRODUCT(IFERROR(TIMEVALUE(RIGHT(E188:K188,5))-TIMEVALUE(LEFT(E188:K188,5)),0))</f>
        <v>1.7708333333333335</v>
      </c>
      <c r="T188" s="3" cm="1">
        <f t="array" ref="T188">SUMPRODUCT(IFERROR(TIMEVALUE(RIGHT(L188:R188,5))-TIMEVALUE(LEFT(L188:R188,5)),0))</f>
        <v>1.7708333333333335</v>
      </c>
    </row>
    <row r="189" spans="1:20">
      <c r="A189" s="10" t="s">
        <v>216</v>
      </c>
      <c r="B189" s="10">
        <v>13</v>
      </c>
      <c r="C189" s="11" t="s">
        <v>19</v>
      </c>
      <c r="D189" s="10"/>
      <c r="E189" s="11" t="s">
        <v>30</v>
      </c>
      <c r="F189" s="11" t="s">
        <v>9</v>
      </c>
      <c r="G189" s="11" t="s">
        <v>9</v>
      </c>
      <c r="H189" s="11" t="s">
        <v>30</v>
      </c>
      <c r="I189" s="11" t="s">
        <v>30</v>
      </c>
      <c r="J189" s="11" t="s">
        <v>30</v>
      </c>
      <c r="K189" s="11" t="s">
        <v>30</v>
      </c>
      <c r="L189" s="11" t="s">
        <v>30</v>
      </c>
      <c r="M189" s="11" t="s">
        <v>30</v>
      </c>
      <c r="N189" s="11" t="s">
        <v>9</v>
      </c>
      <c r="O189" s="11" t="s">
        <v>9</v>
      </c>
      <c r="P189" s="11" t="s">
        <v>30</v>
      </c>
      <c r="Q189" s="11" t="s">
        <v>30</v>
      </c>
      <c r="R189" s="11" t="s">
        <v>30</v>
      </c>
      <c r="S189" s="8" cm="1">
        <f t="array" ref="S189">SUMPRODUCT(IFERROR(TIMEVALUE(RIGHT(E189:K189,5))-TIMEVALUE(LEFT(E189:K189,5)),0))</f>
        <v>1.7708333333333335</v>
      </c>
      <c r="T189" s="3" cm="1">
        <f t="array" ref="T189">SUMPRODUCT(IFERROR(TIMEVALUE(RIGHT(L189:R189,5))-TIMEVALUE(LEFT(L189:R189,5)),0))</f>
        <v>1.7708333333333335</v>
      </c>
    </row>
    <row r="190" spans="1:20">
      <c r="A190" s="10" t="s">
        <v>217</v>
      </c>
      <c r="B190" s="10">
        <v>13</v>
      </c>
      <c r="C190" s="11" t="s">
        <v>19</v>
      </c>
      <c r="D190" s="10"/>
      <c r="E190" s="11" t="s">
        <v>30</v>
      </c>
      <c r="F190" s="11" t="s">
        <v>30</v>
      </c>
      <c r="G190" s="11" t="s">
        <v>30</v>
      </c>
      <c r="H190" s="11" t="s">
        <v>30</v>
      </c>
      <c r="I190" s="11" t="s">
        <v>9</v>
      </c>
      <c r="J190" s="11" t="s">
        <v>9</v>
      </c>
      <c r="K190" s="11" t="s">
        <v>30</v>
      </c>
      <c r="L190" s="11" t="s">
        <v>30</v>
      </c>
      <c r="M190" s="11" t="s">
        <v>30</v>
      </c>
      <c r="N190" s="11" t="s">
        <v>30</v>
      </c>
      <c r="O190" s="11" t="s">
        <v>30</v>
      </c>
      <c r="P190" s="11" t="s">
        <v>9</v>
      </c>
      <c r="Q190" s="11" t="s">
        <v>9</v>
      </c>
      <c r="R190" s="11" t="s">
        <v>30</v>
      </c>
      <c r="S190" s="8" cm="1">
        <f t="array" ref="S190">SUMPRODUCT(IFERROR(TIMEVALUE(RIGHT(E190:K190,5))-TIMEVALUE(LEFT(E190:K190,5)),0))</f>
        <v>1.7708333333333335</v>
      </c>
      <c r="T190" s="3" cm="1">
        <f t="array" ref="T190">SUMPRODUCT(IFERROR(TIMEVALUE(RIGHT(L190:R190,5))-TIMEVALUE(LEFT(L190:R190,5)),0))</f>
        <v>1.7708333333333335</v>
      </c>
    </row>
    <row r="191" spans="1:20">
      <c r="A191" s="10" t="s">
        <v>218</v>
      </c>
      <c r="B191" s="10">
        <v>14</v>
      </c>
      <c r="C191" s="11" t="s">
        <v>35</v>
      </c>
      <c r="D191" s="10"/>
      <c r="E191" s="11" t="s">
        <v>8</v>
      </c>
      <c r="F191" s="11" t="s">
        <v>8</v>
      </c>
      <c r="G191" s="11" t="s">
        <v>9</v>
      </c>
      <c r="H191" s="11" t="s">
        <v>9</v>
      </c>
      <c r="I191" s="11" t="s">
        <v>8</v>
      </c>
      <c r="J191" s="11" t="s">
        <v>8</v>
      </c>
      <c r="K191" s="11" t="s">
        <v>8</v>
      </c>
      <c r="L191" s="11" t="s">
        <v>8</v>
      </c>
      <c r="M191" s="11" t="s">
        <v>8</v>
      </c>
      <c r="N191" s="11" t="s">
        <v>9</v>
      </c>
      <c r="O191" s="11" t="s">
        <v>9</v>
      </c>
      <c r="P191" s="11" t="s">
        <v>8</v>
      </c>
      <c r="Q191" s="11" t="s">
        <v>8</v>
      </c>
      <c r="R191" s="11" t="s">
        <v>8</v>
      </c>
      <c r="S191" s="8" cm="1">
        <f t="array" ref="S191">SUMPRODUCT(IFERROR(TIMEVALUE(RIGHT(E191:K191,5))-TIMEVALUE(LEFT(E191:K191,5)),0))</f>
        <v>1.7708333333333335</v>
      </c>
      <c r="T191" s="3" cm="1">
        <f t="array" ref="T191">SUMPRODUCT(IFERROR(TIMEVALUE(RIGHT(L191:R191,5))-TIMEVALUE(LEFT(L191:R191,5)),0))</f>
        <v>1.7708333333333335</v>
      </c>
    </row>
    <row r="192" spans="1:20">
      <c r="A192" s="10" t="s">
        <v>219</v>
      </c>
      <c r="B192" s="10">
        <v>14</v>
      </c>
      <c r="C192" s="11" t="s">
        <v>35</v>
      </c>
      <c r="D192" s="10"/>
      <c r="E192" s="11" t="s">
        <v>9</v>
      </c>
      <c r="F192" s="11" t="s">
        <v>84</v>
      </c>
      <c r="G192" s="11" t="s">
        <v>84</v>
      </c>
      <c r="H192" s="11" t="s">
        <v>84</v>
      </c>
      <c r="I192" s="11" t="s">
        <v>84</v>
      </c>
      <c r="J192" s="11" t="s">
        <v>84</v>
      </c>
      <c r="K192" s="11" t="s">
        <v>9</v>
      </c>
      <c r="L192" s="11" t="s">
        <v>9</v>
      </c>
      <c r="M192" s="11" t="s">
        <v>84</v>
      </c>
      <c r="N192" s="11" t="s">
        <v>84</v>
      </c>
      <c r="O192" s="11" t="s">
        <v>84</v>
      </c>
      <c r="P192" s="11" t="s">
        <v>84</v>
      </c>
      <c r="Q192" s="11" t="s">
        <v>84</v>
      </c>
      <c r="R192" s="11" t="s">
        <v>9</v>
      </c>
      <c r="S192" s="8" cm="1">
        <f t="array" ref="S192">SUMPRODUCT(IFERROR(TIMEVALUE(RIGHT(E192:K192,5))-TIMEVALUE(LEFT(E192:K192,5)),0))</f>
        <v>1.7708333333333335</v>
      </c>
      <c r="T192" s="3" cm="1">
        <f t="array" ref="T192">SUMPRODUCT(IFERROR(TIMEVALUE(RIGHT(L192:R192,5))-TIMEVALUE(LEFT(L192:R192,5)),0))</f>
        <v>1.7708333333333335</v>
      </c>
    </row>
    <row r="193" spans="1:20">
      <c r="A193" s="10" t="s">
        <v>220</v>
      </c>
      <c r="B193" s="10">
        <v>14</v>
      </c>
      <c r="C193" s="11" t="s">
        <v>35</v>
      </c>
      <c r="D193" s="10"/>
      <c r="E193" s="11" t="s">
        <v>9</v>
      </c>
      <c r="F193" s="11" t="s">
        <v>30</v>
      </c>
      <c r="G193" s="11" t="s">
        <v>30</v>
      </c>
      <c r="H193" s="11" t="s">
        <v>30</v>
      </c>
      <c r="I193" s="11" t="s">
        <v>30</v>
      </c>
      <c r="J193" s="11" t="s">
        <v>30</v>
      </c>
      <c r="K193" s="11" t="s">
        <v>9</v>
      </c>
      <c r="L193" s="11" t="s">
        <v>9</v>
      </c>
      <c r="M193" s="11" t="s">
        <v>30</v>
      </c>
      <c r="N193" s="11" t="s">
        <v>30</v>
      </c>
      <c r="O193" s="11" t="s">
        <v>30</v>
      </c>
      <c r="P193" s="11" t="s">
        <v>30</v>
      </c>
      <c r="Q193" s="11" t="s">
        <v>30</v>
      </c>
      <c r="R193" s="11" t="s">
        <v>9</v>
      </c>
      <c r="S193" s="8" cm="1">
        <f t="array" ref="S193">SUMPRODUCT(IFERROR(TIMEVALUE(RIGHT(E193:K193,5))-TIMEVALUE(LEFT(E193:K193,5)),0))</f>
        <v>1.7708333333333335</v>
      </c>
      <c r="T193" s="3" cm="1">
        <f t="array" ref="T193">SUMPRODUCT(IFERROR(TIMEVALUE(RIGHT(L193:R193,5))-TIMEVALUE(LEFT(L193:R193,5)),0))</f>
        <v>1.7708333333333335</v>
      </c>
    </row>
    <row r="194" spans="1:20">
      <c r="A194" s="10" t="s">
        <v>221</v>
      </c>
      <c r="B194" s="10">
        <v>14</v>
      </c>
      <c r="C194" s="11" t="s">
        <v>35</v>
      </c>
      <c r="D194" s="10"/>
      <c r="E194" s="11" t="s">
        <v>30</v>
      </c>
      <c r="F194" s="11" t="s">
        <v>30</v>
      </c>
      <c r="G194" s="11" t="s">
        <v>30</v>
      </c>
      <c r="H194" s="11" t="s">
        <v>30</v>
      </c>
      <c r="I194" s="11" t="s">
        <v>9</v>
      </c>
      <c r="J194" s="11" t="s">
        <v>9</v>
      </c>
      <c r="K194" s="11" t="s">
        <v>30</v>
      </c>
      <c r="L194" s="11" t="s">
        <v>30</v>
      </c>
      <c r="M194" s="11" t="s">
        <v>30</v>
      </c>
      <c r="N194" s="11" t="s">
        <v>30</v>
      </c>
      <c r="O194" s="11" t="s">
        <v>30</v>
      </c>
      <c r="P194" s="11" t="s">
        <v>9</v>
      </c>
      <c r="Q194" s="11" t="s">
        <v>9</v>
      </c>
      <c r="R194" s="11" t="s">
        <v>30</v>
      </c>
      <c r="S194" s="8" cm="1">
        <f t="array" ref="S194">SUMPRODUCT(IFERROR(TIMEVALUE(RIGHT(E194:K194,5))-TIMEVALUE(LEFT(E194:K194,5)),0))</f>
        <v>1.7708333333333335</v>
      </c>
      <c r="T194" s="3" cm="1">
        <f t="array" ref="T194">SUMPRODUCT(IFERROR(TIMEVALUE(RIGHT(L194:R194,5))-TIMEVALUE(LEFT(L194:R194,5)),0))</f>
        <v>1.7708333333333335</v>
      </c>
    </row>
    <row r="195" spans="1:20">
      <c r="A195" s="10" t="s">
        <v>222</v>
      </c>
      <c r="B195" s="10">
        <v>14</v>
      </c>
      <c r="C195" s="11" t="s">
        <v>35</v>
      </c>
      <c r="D195" s="10"/>
      <c r="E195" s="11" t="s">
        <v>30</v>
      </c>
      <c r="F195" s="11" t="s">
        <v>30</v>
      </c>
      <c r="G195" s="11" t="s">
        <v>30</v>
      </c>
      <c r="H195" s="11" t="s">
        <v>30</v>
      </c>
      <c r="I195" s="11" t="s">
        <v>30</v>
      </c>
      <c r="J195" s="11" t="s">
        <v>9</v>
      </c>
      <c r="K195" s="11" t="s">
        <v>9</v>
      </c>
      <c r="L195" s="11" t="s">
        <v>30</v>
      </c>
      <c r="M195" s="11" t="s">
        <v>30</v>
      </c>
      <c r="N195" s="11" t="s">
        <v>30</v>
      </c>
      <c r="O195" s="11" t="s">
        <v>30</v>
      </c>
      <c r="P195" s="11" t="s">
        <v>30</v>
      </c>
      <c r="Q195" s="11" t="s">
        <v>9</v>
      </c>
      <c r="R195" s="11" t="s">
        <v>9</v>
      </c>
      <c r="S195" s="8" cm="1">
        <f t="array" ref="S195">SUMPRODUCT(IFERROR(TIMEVALUE(RIGHT(E195:K195,5))-TIMEVALUE(LEFT(E195:K195,5)),0))</f>
        <v>1.7708333333333335</v>
      </c>
      <c r="T195" s="3" cm="1">
        <f t="array" ref="T195">SUMPRODUCT(IFERROR(TIMEVALUE(RIGHT(L195:R195,5))-TIMEVALUE(LEFT(L195:R195,5)),0))</f>
        <v>1.7708333333333335</v>
      </c>
    </row>
    <row r="196" spans="1:20">
      <c r="A196" s="10" t="s">
        <v>223</v>
      </c>
      <c r="B196" s="10">
        <v>14</v>
      </c>
      <c r="C196" s="11" t="s">
        <v>35</v>
      </c>
      <c r="D196" s="10"/>
      <c r="E196" s="11" t="s">
        <v>30</v>
      </c>
      <c r="F196" s="11" t="s">
        <v>30</v>
      </c>
      <c r="G196" s="11" t="s">
        <v>30</v>
      </c>
      <c r="H196" s="11" t="s">
        <v>30</v>
      </c>
      <c r="I196" s="11" t="s">
        <v>30</v>
      </c>
      <c r="J196" s="11" t="s">
        <v>9</v>
      </c>
      <c r="K196" s="11" t="s">
        <v>9</v>
      </c>
      <c r="L196" s="11" t="s">
        <v>30</v>
      </c>
      <c r="M196" s="11" t="s">
        <v>30</v>
      </c>
      <c r="N196" s="11" t="s">
        <v>30</v>
      </c>
      <c r="O196" s="11" t="s">
        <v>30</v>
      </c>
      <c r="P196" s="11" t="s">
        <v>30</v>
      </c>
      <c r="Q196" s="11" t="s">
        <v>9</v>
      </c>
      <c r="R196" s="11" t="s">
        <v>9</v>
      </c>
      <c r="S196" s="8" cm="1">
        <f t="array" ref="S196">SUMPRODUCT(IFERROR(TIMEVALUE(RIGHT(E196:K196,5))-TIMEVALUE(LEFT(E196:K196,5)),0))</f>
        <v>1.7708333333333335</v>
      </c>
      <c r="T196" s="3" cm="1">
        <f t="array" ref="T196">SUMPRODUCT(IFERROR(TIMEVALUE(RIGHT(L196:R196,5))-TIMEVALUE(LEFT(L196:R196,5)),0))</f>
        <v>1.7708333333333335</v>
      </c>
    </row>
    <row r="197" spans="1:20">
      <c r="A197" s="10" t="s">
        <v>224</v>
      </c>
      <c r="B197" s="10">
        <v>14</v>
      </c>
      <c r="C197" s="11" t="s">
        <v>35</v>
      </c>
      <c r="D197" s="10"/>
      <c r="E197" s="11" t="s">
        <v>30</v>
      </c>
      <c r="F197" s="11" t="s">
        <v>30</v>
      </c>
      <c r="G197" s="11" t="s">
        <v>30</v>
      </c>
      <c r="H197" s="11" t="s">
        <v>30</v>
      </c>
      <c r="I197" s="11" t="s">
        <v>30</v>
      </c>
      <c r="J197" s="11" t="s">
        <v>9</v>
      </c>
      <c r="K197" s="11" t="s">
        <v>9</v>
      </c>
      <c r="L197" s="11" t="s">
        <v>30</v>
      </c>
      <c r="M197" s="11" t="s">
        <v>30</v>
      </c>
      <c r="N197" s="11" t="s">
        <v>30</v>
      </c>
      <c r="O197" s="11" t="s">
        <v>30</v>
      </c>
      <c r="P197" s="11" t="s">
        <v>30</v>
      </c>
      <c r="Q197" s="11" t="s">
        <v>9</v>
      </c>
      <c r="R197" s="11" t="s">
        <v>9</v>
      </c>
      <c r="S197" s="8" cm="1">
        <f t="array" ref="S197">SUMPRODUCT(IFERROR(TIMEVALUE(RIGHT(E197:K197,5))-TIMEVALUE(LEFT(E197:K197,5)),0))</f>
        <v>1.7708333333333335</v>
      </c>
      <c r="T197" s="3" cm="1">
        <f t="array" ref="T197">SUMPRODUCT(IFERROR(TIMEVALUE(RIGHT(L197:R197,5))-TIMEVALUE(LEFT(L197:R197,5)),0))</f>
        <v>1.7708333333333335</v>
      </c>
    </row>
    <row r="198" spans="1:20">
      <c r="A198" s="10" t="s">
        <v>225</v>
      </c>
      <c r="B198" s="10">
        <v>14</v>
      </c>
      <c r="C198" s="11" t="s">
        <v>35</v>
      </c>
      <c r="D198" s="10"/>
      <c r="E198" s="11" t="s">
        <v>30</v>
      </c>
      <c r="F198" s="11" t="s">
        <v>9</v>
      </c>
      <c r="G198" s="11" t="s">
        <v>9</v>
      </c>
      <c r="H198" s="11" t="s">
        <v>30</v>
      </c>
      <c r="I198" s="11" t="s">
        <v>30</v>
      </c>
      <c r="J198" s="11" t="s">
        <v>30</v>
      </c>
      <c r="K198" s="11" t="s">
        <v>30</v>
      </c>
      <c r="L198" s="11" t="s">
        <v>30</v>
      </c>
      <c r="M198" s="11" t="s">
        <v>9</v>
      </c>
      <c r="N198" s="11" t="s">
        <v>9</v>
      </c>
      <c r="O198" s="11" t="s">
        <v>30</v>
      </c>
      <c r="P198" s="11" t="s">
        <v>30</v>
      </c>
      <c r="Q198" s="11" t="s">
        <v>30</v>
      </c>
      <c r="R198" s="11" t="s">
        <v>30</v>
      </c>
      <c r="S198" s="8" cm="1">
        <f t="array" ref="S198">SUMPRODUCT(IFERROR(TIMEVALUE(RIGHT(E198:K198,5))-TIMEVALUE(LEFT(E198:K198,5)),0))</f>
        <v>1.7708333333333335</v>
      </c>
      <c r="T198" s="3" cm="1">
        <f t="array" ref="T198">SUMPRODUCT(IFERROR(TIMEVALUE(RIGHT(L198:R198,5))-TIMEVALUE(LEFT(L198:R198,5)),0))</f>
        <v>1.7708333333333335</v>
      </c>
    </row>
    <row r="199" spans="1:20">
      <c r="A199" s="10" t="s">
        <v>226</v>
      </c>
      <c r="B199" s="10">
        <v>14</v>
      </c>
      <c r="C199" s="11" t="s">
        <v>35</v>
      </c>
      <c r="D199" s="10"/>
      <c r="E199" s="11" t="s">
        <v>30</v>
      </c>
      <c r="F199" s="11" t="s">
        <v>9</v>
      </c>
      <c r="G199" s="11" t="s">
        <v>9</v>
      </c>
      <c r="H199" s="11" t="s">
        <v>30</v>
      </c>
      <c r="I199" s="11" t="s">
        <v>30</v>
      </c>
      <c r="J199" s="11" t="s">
        <v>30</v>
      </c>
      <c r="K199" s="11" t="s">
        <v>30</v>
      </c>
      <c r="L199" s="11" t="s">
        <v>30</v>
      </c>
      <c r="M199" s="11" t="s">
        <v>9</v>
      </c>
      <c r="N199" s="11" t="s">
        <v>9</v>
      </c>
      <c r="O199" s="11" t="s">
        <v>30</v>
      </c>
      <c r="P199" s="11" t="s">
        <v>30</v>
      </c>
      <c r="Q199" s="11" t="s">
        <v>30</v>
      </c>
      <c r="R199" s="11" t="s">
        <v>30</v>
      </c>
      <c r="S199" s="8" cm="1">
        <f t="array" ref="S199">SUMPRODUCT(IFERROR(TIMEVALUE(RIGHT(E199:K199,5))-TIMEVALUE(LEFT(E199:K199,5)),0))</f>
        <v>1.7708333333333335</v>
      </c>
      <c r="T199" s="3" cm="1">
        <f t="array" ref="T199">SUMPRODUCT(IFERROR(TIMEVALUE(RIGHT(L199:R199,5))-TIMEVALUE(LEFT(L199:R199,5)),0))</f>
        <v>1.7708333333333335</v>
      </c>
    </row>
    <row r="200" spans="1:20">
      <c r="A200" s="10" t="s">
        <v>227</v>
      </c>
      <c r="B200" s="10">
        <v>14</v>
      </c>
      <c r="C200" s="11" t="s">
        <v>35</v>
      </c>
      <c r="D200" s="10"/>
      <c r="E200" s="11" t="s">
        <v>30</v>
      </c>
      <c r="F200" s="11" t="s">
        <v>30</v>
      </c>
      <c r="G200" s="11" t="s">
        <v>30</v>
      </c>
      <c r="H200" s="11" t="s">
        <v>30</v>
      </c>
      <c r="I200" s="11" t="s">
        <v>30</v>
      </c>
      <c r="J200" s="11" t="s">
        <v>9</v>
      </c>
      <c r="K200" s="11" t="s">
        <v>9</v>
      </c>
      <c r="L200" s="11" t="s">
        <v>30</v>
      </c>
      <c r="M200" s="11" t="s">
        <v>30</v>
      </c>
      <c r="N200" s="11" t="s">
        <v>30</v>
      </c>
      <c r="O200" s="11" t="s">
        <v>30</v>
      </c>
      <c r="P200" s="11" t="s">
        <v>30</v>
      </c>
      <c r="Q200" s="11" t="s">
        <v>9</v>
      </c>
      <c r="R200" s="11" t="s">
        <v>9</v>
      </c>
      <c r="S200" s="8" cm="1">
        <f t="array" ref="S200">SUMPRODUCT(IFERROR(TIMEVALUE(RIGHT(E200:K200,5))-TIMEVALUE(LEFT(E200:K200,5)),0))</f>
        <v>1.7708333333333335</v>
      </c>
      <c r="T200" s="3" cm="1">
        <f t="array" ref="T200">SUMPRODUCT(IFERROR(TIMEVALUE(RIGHT(L200:R200,5))-TIMEVALUE(LEFT(L200:R200,5)),0))</f>
        <v>1.7708333333333335</v>
      </c>
    </row>
    <row r="201" spans="1:20">
      <c r="A201" s="10" t="s">
        <v>228</v>
      </c>
      <c r="B201" s="10">
        <v>14</v>
      </c>
      <c r="C201" s="11" t="s">
        <v>35</v>
      </c>
      <c r="D201" s="10"/>
      <c r="E201" s="11" t="s">
        <v>30</v>
      </c>
      <c r="F201" s="11" t="s">
        <v>30</v>
      </c>
      <c r="G201" s="11" t="s">
        <v>30</v>
      </c>
      <c r="H201" s="11" t="s">
        <v>30</v>
      </c>
      <c r="I201" s="11" t="s">
        <v>9</v>
      </c>
      <c r="J201" s="11" t="s">
        <v>9</v>
      </c>
      <c r="K201" s="11" t="s">
        <v>30</v>
      </c>
      <c r="L201" s="11" t="s">
        <v>30</v>
      </c>
      <c r="M201" s="11" t="s">
        <v>30</v>
      </c>
      <c r="N201" s="11" t="s">
        <v>30</v>
      </c>
      <c r="O201" s="11" t="s">
        <v>30</v>
      </c>
      <c r="P201" s="11" t="s">
        <v>9</v>
      </c>
      <c r="Q201" s="11" t="s">
        <v>9</v>
      </c>
      <c r="R201" s="11" t="s">
        <v>30</v>
      </c>
      <c r="S201" s="8" cm="1">
        <f t="array" ref="S201">SUMPRODUCT(IFERROR(TIMEVALUE(RIGHT(E201:K201,5))-TIMEVALUE(LEFT(E201:K201,5)),0))</f>
        <v>1.7708333333333335</v>
      </c>
      <c r="T201" s="3" cm="1">
        <f t="array" ref="T201">SUMPRODUCT(IFERROR(TIMEVALUE(RIGHT(L201:R201,5))-TIMEVALUE(LEFT(L201:R201,5)),0))</f>
        <v>1.7708333333333335</v>
      </c>
    </row>
    <row r="202" spans="1:20">
      <c r="A202" s="10" t="s">
        <v>229</v>
      </c>
      <c r="B202" s="10">
        <v>14</v>
      </c>
      <c r="C202" s="11" t="s">
        <v>35</v>
      </c>
      <c r="D202" s="10"/>
      <c r="E202" s="11" t="s">
        <v>9</v>
      </c>
      <c r="F202" s="11" t="s">
        <v>30</v>
      </c>
      <c r="G202" s="11" t="s">
        <v>30</v>
      </c>
      <c r="H202" s="11" t="s">
        <v>30</v>
      </c>
      <c r="I202" s="11" t="s">
        <v>30</v>
      </c>
      <c r="J202" s="11" t="s">
        <v>30</v>
      </c>
      <c r="K202" s="11" t="s">
        <v>9</v>
      </c>
      <c r="L202" s="11" t="s">
        <v>9</v>
      </c>
      <c r="M202" s="11" t="s">
        <v>30</v>
      </c>
      <c r="N202" s="11" t="s">
        <v>30</v>
      </c>
      <c r="O202" s="11" t="s">
        <v>30</v>
      </c>
      <c r="P202" s="11" t="s">
        <v>30</v>
      </c>
      <c r="Q202" s="11" t="s">
        <v>30</v>
      </c>
      <c r="R202" s="11" t="s">
        <v>9</v>
      </c>
      <c r="S202" s="8" cm="1">
        <f t="array" ref="S202">SUMPRODUCT(IFERROR(TIMEVALUE(RIGHT(E202:K202,5))-TIMEVALUE(LEFT(E202:K202,5)),0))</f>
        <v>1.7708333333333335</v>
      </c>
      <c r="T202" s="3" cm="1">
        <f t="array" ref="T202">SUMPRODUCT(IFERROR(TIMEVALUE(RIGHT(L202:R202,5))-TIMEVALUE(LEFT(L202:R202,5)),0))</f>
        <v>1.7708333333333335</v>
      </c>
    </row>
    <row r="203" spans="1:20">
      <c r="A203" s="10" t="s">
        <v>230</v>
      </c>
      <c r="B203" s="10">
        <v>14</v>
      </c>
      <c r="C203" s="11" t="s">
        <v>35</v>
      </c>
      <c r="D203" s="10"/>
      <c r="E203" s="11" t="s">
        <v>30</v>
      </c>
      <c r="F203" s="11" t="s">
        <v>30</v>
      </c>
      <c r="G203" s="11" t="s">
        <v>9</v>
      </c>
      <c r="H203" s="11" t="s">
        <v>9</v>
      </c>
      <c r="I203" s="11" t="s">
        <v>30</v>
      </c>
      <c r="J203" s="11" t="s">
        <v>30</v>
      </c>
      <c r="K203" s="11" t="s">
        <v>30</v>
      </c>
      <c r="L203" s="11" t="s">
        <v>30</v>
      </c>
      <c r="M203" s="11" t="s">
        <v>30</v>
      </c>
      <c r="N203" s="11" t="s">
        <v>9</v>
      </c>
      <c r="O203" s="11" t="s">
        <v>9</v>
      </c>
      <c r="P203" s="11" t="s">
        <v>30</v>
      </c>
      <c r="Q203" s="11" t="s">
        <v>30</v>
      </c>
      <c r="R203" s="11" t="s">
        <v>30</v>
      </c>
      <c r="S203" s="8" cm="1">
        <f t="array" ref="S203">SUMPRODUCT(IFERROR(TIMEVALUE(RIGHT(E203:K203,5))-TIMEVALUE(LEFT(E203:K203,5)),0))</f>
        <v>1.7708333333333335</v>
      </c>
      <c r="T203" s="3" cm="1">
        <f t="array" ref="T203">SUMPRODUCT(IFERROR(TIMEVALUE(RIGHT(L203:R203,5))-TIMEVALUE(LEFT(L203:R203,5)),0))</f>
        <v>1.7708333333333335</v>
      </c>
    </row>
    <row r="204" spans="1:20">
      <c r="A204" s="10" t="s">
        <v>231</v>
      </c>
      <c r="B204" s="10">
        <v>14</v>
      </c>
      <c r="C204" s="11" t="s">
        <v>35</v>
      </c>
      <c r="D204" s="10"/>
      <c r="E204" s="11" t="s">
        <v>9</v>
      </c>
      <c r="F204" s="11" t="s">
        <v>30</v>
      </c>
      <c r="G204" s="11" t="s">
        <v>30</v>
      </c>
      <c r="H204" s="11" t="s">
        <v>30</v>
      </c>
      <c r="I204" s="11" t="s">
        <v>30</v>
      </c>
      <c r="J204" s="11" t="s">
        <v>30</v>
      </c>
      <c r="K204" s="11" t="s">
        <v>9</v>
      </c>
      <c r="L204" s="11" t="s">
        <v>9</v>
      </c>
      <c r="M204" s="11" t="s">
        <v>30</v>
      </c>
      <c r="N204" s="11" t="s">
        <v>30</v>
      </c>
      <c r="O204" s="11" t="s">
        <v>30</v>
      </c>
      <c r="P204" s="11" t="s">
        <v>30</v>
      </c>
      <c r="Q204" s="11" t="s">
        <v>30</v>
      </c>
      <c r="R204" s="11" t="s">
        <v>9</v>
      </c>
      <c r="S204" s="8" cm="1">
        <f t="array" ref="S204">SUMPRODUCT(IFERROR(TIMEVALUE(RIGHT(E204:K204,5))-TIMEVALUE(LEFT(E204:K204,5)),0))</f>
        <v>1.7708333333333335</v>
      </c>
      <c r="T204" s="3" cm="1">
        <f t="array" ref="T204">SUMPRODUCT(IFERROR(TIMEVALUE(RIGHT(L204:R204,5))-TIMEVALUE(LEFT(L204:R204,5)),0))</f>
        <v>1.7708333333333335</v>
      </c>
    </row>
    <row r="205" spans="1:20">
      <c r="A205" s="10" t="s">
        <v>232</v>
      </c>
      <c r="B205" s="10">
        <v>14</v>
      </c>
      <c r="C205" s="11" t="s">
        <v>35</v>
      </c>
      <c r="D205" s="10"/>
      <c r="E205" s="11" t="s">
        <v>12</v>
      </c>
      <c r="F205" s="11" t="s">
        <v>9</v>
      </c>
      <c r="G205" s="11" t="s">
        <v>9</v>
      </c>
      <c r="H205" s="11" t="s">
        <v>12</v>
      </c>
      <c r="I205" s="11" t="s">
        <v>12</v>
      </c>
      <c r="J205" s="11" t="s">
        <v>12</v>
      </c>
      <c r="K205" s="11" t="s">
        <v>12</v>
      </c>
      <c r="L205" s="11" t="s">
        <v>12</v>
      </c>
      <c r="M205" s="11" t="s">
        <v>9</v>
      </c>
      <c r="N205" s="11" t="s">
        <v>9</v>
      </c>
      <c r="O205" s="11" t="s">
        <v>12</v>
      </c>
      <c r="P205" s="11" t="s">
        <v>12</v>
      </c>
      <c r="Q205" s="11" t="s">
        <v>12</v>
      </c>
      <c r="R205" s="11" t="s">
        <v>12</v>
      </c>
      <c r="S205" s="8" cm="1">
        <f t="array" ref="S205">SUMPRODUCT(IFERROR(TIMEVALUE(RIGHT(E205:K205,5))-TIMEVALUE(LEFT(E205:K205,5)),0))</f>
        <v>1.770833333333333</v>
      </c>
      <c r="T205" s="3" cm="1">
        <f t="array" ref="T205">SUMPRODUCT(IFERROR(TIMEVALUE(RIGHT(L205:R205,5))-TIMEVALUE(LEFT(L205:R205,5)),0))</f>
        <v>1.770833333333333</v>
      </c>
    </row>
    <row r="206" spans="1:20">
      <c r="A206" s="10" t="s">
        <v>233</v>
      </c>
      <c r="B206" s="10">
        <v>15</v>
      </c>
      <c r="C206" s="11" t="s">
        <v>28</v>
      </c>
      <c r="D206" s="10"/>
      <c r="E206" s="11" t="s">
        <v>8</v>
      </c>
      <c r="F206" s="11" t="s">
        <v>8</v>
      </c>
      <c r="G206" s="11" t="s">
        <v>9</v>
      </c>
      <c r="H206" s="11" t="s">
        <v>9</v>
      </c>
      <c r="I206" s="11" t="s">
        <v>8</v>
      </c>
      <c r="J206" s="11" t="s">
        <v>8</v>
      </c>
      <c r="K206" s="11" t="s">
        <v>8</v>
      </c>
      <c r="L206" s="11" t="s">
        <v>8</v>
      </c>
      <c r="M206" s="11" t="s">
        <v>8</v>
      </c>
      <c r="N206" s="11" t="s">
        <v>9</v>
      </c>
      <c r="O206" s="11" t="s">
        <v>9</v>
      </c>
      <c r="P206" s="11" t="s">
        <v>8</v>
      </c>
      <c r="Q206" s="11" t="s">
        <v>8</v>
      </c>
      <c r="R206" s="11" t="s">
        <v>8</v>
      </c>
      <c r="S206" s="8" cm="1">
        <f t="array" ref="S206">SUMPRODUCT(IFERROR(TIMEVALUE(RIGHT(E206:K206,5))-TIMEVALUE(LEFT(E206:K206,5)),0))</f>
        <v>1.7708333333333335</v>
      </c>
      <c r="T206" s="3" cm="1">
        <f t="array" ref="T206">SUMPRODUCT(IFERROR(TIMEVALUE(RIGHT(L206:R206,5))-TIMEVALUE(LEFT(L206:R206,5)),0))</f>
        <v>1.7708333333333335</v>
      </c>
    </row>
    <row r="207" spans="1:20">
      <c r="A207" s="10" t="s">
        <v>234</v>
      </c>
      <c r="B207" s="10">
        <v>15</v>
      </c>
      <c r="C207" s="11" t="s">
        <v>28</v>
      </c>
      <c r="D207" s="10"/>
      <c r="E207" s="11" t="s">
        <v>8</v>
      </c>
      <c r="F207" s="11" t="s">
        <v>8</v>
      </c>
      <c r="G207" s="11" t="s">
        <v>9</v>
      </c>
      <c r="H207" s="11" t="s">
        <v>9</v>
      </c>
      <c r="I207" s="11" t="s">
        <v>8</v>
      </c>
      <c r="J207" s="11" t="s">
        <v>8</v>
      </c>
      <c r="K207" s="11" t="s">
        <v>8</v>
      </c>
      <c r="L207" s="11" t="s">
        <v>8</v>
      </c>
      <c r="M207" s="11" t="s">
        <v>8</v>
      </c>
      <c r="N207" s="11" t="s">
        <v>9</v>
      </c>
      <c r="O207" s="11" t="s">
        <v>9</v>
      </c>
      <c r="P207" s="11" t="s">
        <v>8</v>
      </c>
      <c r="Q207" s="11" t="s">
        <v>8</v>
      </c>
      <c r="R207" s="11" t="s">
        <v>8</v>
      </c>
      <c r="S207" s="8" cm="1">
        <f t="array" ref="S207">SUMPRODUCT(IFERROR(TIMEVALUE(RIGHT(E207:K207,5))-TIMEVALUE(LEFT(E207:K207,5)),0))</f>
        <v>1.7708333333333335</v>
      </c>
      <c r="T207" s="3" cm="1">
        <f t="array" ref="T207">SUMPRODUCT(IFERROR(TIMEVALUE(RIGHT(L207:R207,5))-TIMEVALUE(LEFT(L207:R207,5)),0))</f>
        <v>1.7708333333333335</v>
      </c>
    </row>
    <row r="208" spans="1:20">
      <c r="A208" s="10" t="s">
        <v>235</v>
      </c>
      <c r="B208" s="10">
        <v>15</v>
      </c>
      <c r="C208" s="11" t="s">
        <v>28</v>
      </c>
      <c r="D208" s="10"/>
      <c r="E208" s="11" t="s">
        <v>9</v>
      </c>
      <c r="F208" s="11" t="s">
        <v>8</v>
      </c>
      <c r="G208" s="11" t="s">
        <v>8</v>
      </c>
      <c r="H208" s="11" t="s">
        <v>8</v>
      </c>
      <c r="I208" s="11" t="s">
        <v>8</v>
      </c>
      <c r="J208" s="11" t="s">
        <v>8</v>
      </c>
      <c r="K208" s="11" t="s">
        <v>9</v>
      </c>
      <c r="L208" s="11" t="s">
        <v>9</v>
      </c>
      <c r="M208" s="11" t="s">
        <v>8</v>
      </c>
      <c r="N208" s="11" t="s">
        <v>8</v>
      </c>
      <c r="O208" s="11" t="s">
        <v>8</v>
      </c>
      <c r="P208" s="11" t="s">
        <v>8</v>
      </c>
      <c r="Q208" s="11" t="s">
        <v>8</v>
      </c>
      <c r="R208" s="11" t="s">
        <v>9</v>
      </c>
      <c r="S208" s="8" cm="1">
        <f t="array" ref="S208">SUMPRODUCT(IFERROR(TIMEVALUE(RIGHT(E208:K208,5))-TIMEVALUE(LEFT(E208:K208,5)),0))</f>
        <v>1.7708333333333335</v>
      </c>
      <c r="T208" s="3" cm="1">
        <f t="array" ref="T208">SUMPRODUCT(IFERROR(TIMEVALUE(RIGHT(L208:R208,5))-TIMEVALUE(LEFT(L208:R208,5)),0))</f>
        <v>1.7708333333333335</v>
      </c>
    </row>
    <row r="209" spans="1:20">
      <c r="A209" s="10" t="s">
        <v>236</v>
      </c>
      <c r="B209" s="10">
        <v>15</v>
      </c>
      <c r="C209" s="11" t="s">
        <v>28</v>
      </c>
      <c r="D209" s="10"/>
      <c r="E209" s="11" t="s">
        <v>8</v>
      </c>
      <c r="F209" s="11" t="s">
        <v>8</v>
      </c>
      <c r="G209" s="11" t="s">
        <v>8</v>
      </c>
      <c r="H209" s="11" t="s">
        <v>9</v>
      </c>
      <c r="I209" s="11" t="s">
        <v>9</v>
      </c>
      <c r="J209" s="11" t="s">
        <v>8</v>
      </c>
      <c r="K209" s="11" t="s">
        <v>8</v>
      </c>
      <c r="L209" s="11" t="s">
        <v>8</v>
      </c>
      <c r="M209" s="11" t="s">
        <v>8</v>
      </c>
      <c r="N209" s="11" t="s">
        <v>8</v>
      </c>
      <c r="O209" s="11" t="s">
        <v>9</v>
      </c>
      <c r="P209" s="11" t="s">
        <v>9</v>
      </c>
      <c r="Q209" s="11" t="s">
        <v>8</v>
      </c>
      <c r="R209" s="11" t="s">
        <v>8</v>
      </c>
      <c r="S209" s="8" cm="1">
        <f t="array" ref="S209">SUMPRODUCT(IFERROR(TIMEVALUE(RIGHT(E209:K209,5))-TIMEVALUE(LEFT(E209:K209,5)),0))</f>
        <v>1.7708333333333335</v>
      </c>
      <c r="T209" s="3" cm="1">
        <f t="array" ref="T209">SUMPRODUCT(IFERROR(TIMEVALUE(RIGHT(L209:R209,5))-TIMEVALUE(LEFT(L209:R209,5)),0))</f>
        <v>1.7708333333333335</v>
      </c>
    </row>
    <row r="210" spans="1:20">
      <c r="A210" s="10" t="s">
        <v>237</v>
      </c>
      <c r="B210" s="10">
        <v>15</v>
      </c>
      <c r="C210" s="11" t="s">
        <v>28</v>
      </c>
      <c r="D210" s="10"/>
      <c r="E210" s="11" t="s">
        <v>8</v>
      </c>
      <c r="F210" s="11" t="s">
        <v>9</v>
      </c>
      <c r="G210" s="11" t="s">
        <v>9</v>
      </c>
      <c r="H210" s="11" t="s">
        <v>8</v>
      </c>
      <c r="I210" s="11" t="s">
        <v>8</v>
      </c>
      <c r="J210" s="11" t="s">
        <v>8</v>
      </c>
      <c r="K210" s="11" t="s">
        <v>8</v>
      </c>
      <c r="L210" s="11" t="s">
        <v>8</v>
      </c>
      <c r="M210" s="11" t="s">
        <v>9</v>
      </c>
      <c r="N210" s="11" t="s">
        <v>9</v>
      </c>
      <c r="O210" s="11" t="s">
        <v>8</v>
      </c>
      <c r="P210" s="11" t="s">
        <v>8</v>
      </c>
      <c r="Q210" s="11" t="s">
        <v>8</v>
      </c>
      <c r="R210" s="11" t="s">
        <v>8</v>
      </c>
      <c r="S210" s="8" cm="1">
        <f t="array" ref="S210">SUMPRODUCT(IFERROR(TIMEVALUE(RIGHT(E210:K210,5))-TIMEVALUE(LEFT(E210:K210,5)),0))</f>
        <v>1.7708333333333335</v>
      </c>
      <c r="T210" s="3" cm="1">
        <f t="array" ref="T210">SUMPRODUCT(IFERROR(TIMEVALUE(RIGHT(L210:R210,5))-TIMEVALUE(LEFT(L210:R210,5)),0))</f>
        <v>1.7708333333333335</v>
      </c>
    </row>
    <row r="211" spans="1:20">
      <c r="A211" s="10" t="s">
        <v>238</v>
      </c>
      <c r="B211" s="10">
        <v>15</v>
      </c>
      <c r="C211" s="11" t="s">
        <v>28</v>
      </c>
      <c r="D211" s="10"/>
      <c r="E211" s="11" t="s">
        <v>9</v>
      </c>
      <c r="F211" s="11" t="s">
        <v>9</v>
      </c>
      <c r="G211" s="11" t="s">
        <v>8</v>
      </c>
      <c r="H211" s="11" t="s">
        <v>8</v>
      </c>
      <c r="I211" s="11" t="s">
        <v>8</v>
      </c>
      <c r="J211" s="11" t="s">
        <v>8</v>
      </c>
      <c r="K211" s="11" t="s">
        <v>8</v>
      </c>
      <c r="L211" s="11" t="s">
        <v>9</v>
      </c>
      <c r="M211" s="11" t="s">
        <v>9</v>
      </c>
      <c r="N211" s="11" t="s">
        <v>8</v>
      </c>
      <c r="O211" s="11" t="s">
        <v>8</v>
      </c>
      <c r="P211" s="11" t="s">
        <v>8</v>
      </c>
      <c r="Q211" s="11" t="s">
        <v>8</v>
      </c>
      <c r="R211" s="11" t="s">
        <v>8</v>
      </c>
      <c r="S211" s="8" cm="1">
        <f t="array" ref="S211">SUMPRODUCT(IFERROR(TIMEVALUE(RIGHT(E211:K211,5))-TIMEVALUE(LEFT(E211:K211,5)),0))</f>
        <v>1.7708333333333335</v>
      </c>
      <c r="T211" s="3" cm="1">
        <f t="array" ref="T211">SUMPRODUCT(IFERROR(TIMEVALUE(RIGHT(L211:R211,5))-TIMEVALUE(LEFT(L211:R211,5)),0))</f>
        <v>1.7708333333333335</v>
      </c>
    </row>
    <row r="212" spans="1:20">
      <c r="A212" s="10" t="s">
        <v>239</v>
      </c>
      <c r="B212" s="10">
        <v>15</v>
      </c>
      <c r="C212" s="11" t="s">
        <v>28</v>
      </c>
      <c r="D212" s="10"/>
      <c r="E212" s="11" t="s">
        <v>8</v>
      </c>
      <c r="F212" s="11" t="s">
        <v>9</v>
      </c>
      <c r="G212" s="11" t="s">
        <v>9</v>
      </c>
      <c r="H212" s="11" t="s">
        <v>8</v>
      </c>
      <c r="I212" s="11" t="s">
        <v>8</v>
      </c>
      <c r="J212" s="11" t="s">
        <v>8</v>
      </c>
      <c r="K212" s="11" t="s">
        <v>8</v>
      </c>
      <c r="L212" s="11" t="s">
        <v>8</v>
      </c>
      <c r="M212" s="11" t="s">
        <v>9</v>
      </c>
      <c r="N212" s="11" t="s">
        <v>9</v>
      </c>
      <c r="O212" s="11" t="s">
        <v>8</v>
      </c>
      <c r="P212" s="11" t="s">
        <v>8</v>
      </c>
      <c r="Q212" s="11" t="s">
        <v>8</v>
      </c>
      <c r="R212" s="11" t="s">
        <v>8</v>
      </c>
      <c r="S212" s="8" cm="1">
        <f t="array" ref="S212">SUMPRODUCT(IFERROR(TIMEVALUE(RIGHT(E212:K212,5))-TIMEVALUE(LEFT(E212:K212,5)),0))</f>
        <v>1.7708333333333335</v>
      </c>
      <c r="T212" s="3" cm="1">
        <f t="array" ref="T212">SUMPRODUCT(IFERROR(TIMEVALUE(RIGHT(L212:R212,5))-TIMEVALUE(LEFT(L212:R212,5)),0))</f>
        <v>1.7708333333333335</v>
      </c>
    </row>
    <row r="213" spans="1:20">
      <c r="A213" s="10" t="s">
        <v>240</v>
      </c>
      <c r="B213" s="10">
        <v>15</v>
      </c>
      <c r="C213" s="11" t="s">
        <v>28</v>
      </c>
      <c r="D213" s="10"/>
      <c r="E213" s="11" t="s">
        <v>8</v>
      </c>
      <c r="F213" s="11" t="s">
        <v>8</v>
      </c>
      <c r="G213" s="11" t="s">
        <v>8</v>
      </c>
      <c r="H213" s="11" t="s">
        <v>8</v>
      </c>
      <c r="I213" s="11" t="s">
        <v>8</v>
      </c>
      <c r="J213" s="11" t="s">
        <v>9</v>
      </c>
      <c r="K213" s="11" t="s">
        <v>9</v>
      </c>
      <c r="L213" s="11" t="s">
        <v>8</v>
      </c>
      <c r="M213" s="11" t="s">
        <v>8</v>
      </c>
      <c r="N213" s="11" t="s">
        <v>8</v>
      </c>
      <c r="O213" s="11" t="s">
        <v>8</v>
      </c>
      <c r="P213" s="11" t="s">
        <v>8</v>
      </c>
      <c r="Q213" s="11" t="s">
        <v>9</v>
      </c>
      <c r="R213" s="11" t="s">
        <v>9</v>
      </c>
      <c r="S213" s="8" cm="1">
        <f t="array" ref="S213">SUMPRODUCT(IFERROR(TIMEVALUE(RIGHT(E213:K213,5))-TIMEVALUE(LEFT(E213:K213,5)),0))</f>
        <v>1.7708333333333335</v>
      </c>
      <c r="T213" s="3" cm="1">
        <f t="array" ref="T213">SUMPRODUCT(IFERROR(TIMEVALUE(RIGHT(L213:R213,5))-TIMEVALUE(LEFT(L213:R213,5)),0))</f>
        <v>1.7708333333333335</v>
      </c>
    </row>
    <row r="214" spans="1:20">
      <c r="A214" s="10" t="s">
        <v>241</v>
      </c>
      <c r="B214" s="10">
        <v>15</v>
      </c>
      <c r="C214" s="11" t="s">
        <v>28</v>
      </c>
      <c r="D214" s="10"/>
      <c r="E214" s="11" t="s">
        <v>9</v>
      </c>
      <c r="F214" s="11" t="s">
        <v>30</v>
      </c>
      <c r="G214" s="11" t="s">
        <v>30</v>
      </c>
      <c r="H214" s="11" t="s">
        <v>30</v>
      </c>
      <c r="I214" s="11" t="s">
        <v>30</v>
      </c>
      <c r="J214" s="11" t="s">
        <v>30</v>
      </c>
      <c r="K214" s="11" t="s">
        <v>9</v>
      </c>
      <c r="L214" s="11" t="s">
        <v>9</v>
      </c>
      <c r="M214" s="11" t="s">
        <v>30</v>
      </c>
      <c r="N214" s="11" t="s">
        <v>30</v>
      </c>
      <c r="O214" s="11" t="s">
        <v>30</v>
      </c>
      <c r="P214" s="11" t="s">
        <v>30</v>
      </c>
      <c r="Q214" s="11" t="s">
        <v>30</v>
      </c>
      <c r="R214" s="11" t="s">
        <v>9</v>
      </c>
      <c r="S214" s="8" cm="1">
        <f t="array" ref="S214">SUMPRODUCT(IFERROR(TIMEVALUE(RIGHT(E214:K214,5))-TIMEVALUE(LEFT(E214:K214,5)),0))</f>
        <v>1.7708333333333335</v>
      </c>
      <c r="T214" s="3" cm="1">
        <f t="array" ref="T214">SUMPRODUCT(IFERROR(TIMEVALUE(RIGHT(L214:R214,5))-TIMEVALUE(LEFT(L214:R214,5)),0))</f>
        <v>1.7708333333333335</v>
      </c>
    </row>
    <row r="215" spans="1:20">
      <c r="A215" s="10" t="s">
        <v>242</v>
      </c>
      <c r="B215" s="10">
        <v>15</v>
      </c>
      <c r="C215" s="11" t="s">
        <v>28</v>
      </c>
      <c r="D215" s="10"/>
      <c r="E215" s="11" t="s">
        <v>8</v>
      </c>
      <c r="F215" s="11" t="s">
        <v>8</v>
      </c>
      <c r="G215" s="11" t="s">
        <v>8</v>
      </c>
      <c r="H215" s="11" t="s">
        <v>8</v>
      </c>
      <c r="I215" s="11" t="s">
        <v>8</v>
      </c>
      <c r="J215" s="11" t="s">
        <v>9</v>
      </c>
      <c r="K215" s="11" t="s">
        <v>9</v>
      </c>
      <c r="L215" s="11" t="s">
        <v>8</v>
      </c>
      <c r="M215" s="11" t="s">
        <v>8</v>
      </c>
      <c r="N215" s="11" t="s">
        <v>8</v>
      </c>
      <c r="O215" s="11" t="s">
        <v>8</v>
      </c>
      <c r="P215" s="11" t="s">
        <v>8</v>
      </c>
      <c r="Q215" s="11" t="s">
        <v>9</v>
      </c>
      <c r="R215" s="11" t="s">
        <v>9</v>
      </c>
      <c r="S215" s="8" cm="1">
        <f t="array" ref="S215">SUMPRODUCT(IFERROR(TIMEVALUE(RIGHT(E215:K215,5))-TIMEVALUE(LEFT(E215:K215,5)),0))</f>
        <v>1.7708333333333335</v>
      </c>
      <c r="T215" s="3" cm="1">
        <f t="array" ref="T215">SUMPRODUCT(IFERROR(TIMEVALUE(RIGHT(L215:R215,5))-TIMEVALUE(LEFT(L215:R215,5)),0))</f>
        <v>1.7708333333333335</v>
      </c>
    </row>
    <row r="216" spans="1:20">
      <c r="A216" s="10" t="s">
        <v>243</v>
      </c>
      <c r="B216" s="10">
        <v>15</v>
      </c>
      <c r="C216" s="11" t="s">
        <v>28</v>
      </c>
      <c r="D216" s="10"/>
      <c r="E216" s="11" t="s">
        <v>30</v>
      </c>
      <c r="F216" s="11" t="s">
        <v>30</v>
      </c>
      <c r="G216" s="11" t="s">
        <v>30</v>
      </c>
      <c r="H216" s="11" t="s">
        <v>30</v>
      </c>
      <c r="I216" s="11" t="s">
        <v>30</v>
      </c>
      <c r="J216" s="11" t="s">
        <v>9</v>
      </c>
      <c r="K216" s="11" t="s">
        <v>9</v>
      </c>
      <c r="L216" s="11" t="s">
        <v>30</v>
      </c>
      <c r="M216" s="11" t="s">
        <v>30</v>
      </c>
      <c r="N216" s="11" t="s">
        <v>30</v>
      </c>
      <c r="O216" s="11" t="s">
        <v>30</v>
      </c>
      <c r="P216" s="11" t="s">
        <v>30</v>
      </c>
      <c r="Q216" s="11" t="s">
        <v>9</v>
      </c>
      <c r="R216" s="11" t="s">
        <v>9</v>
      </c>
      <c r="S216" s="8" cm="1">
        <f t="array" ref="S216">SUMPRODUCT(IFERROR(TIMEVALUE(RIGHT(E216:K216,5))-TIMEVALUE(LEFT(E216:K216,5)),0))</f>
        <v>1.7708333333333335</v>
      </c>
      <c r="T216" s="3" cm="1">
        <f t="array" ref="T216">SUMPRODUCT(IFERROR(TIMEVALUE(RIGHT(L216:R216,5))-TIMEVALUE(LEFT(L216:R216,5)),0))</f>
        <v>1.7708333333333335</v>
      </c>
    </row>
    <row r="217" spans="1:20">
      <c r="A217" s="10" t="s">
        <v>244</v>
      </c>
      <c r="B217" s="10">
        <v>15</v>
      </c>
      <c r="C217" s="11" t="s">
        <v>28</v>
      </c>
      <c r="D217" s="10"/>
      <c r="E217" s="11" t="s">
        <v>30</v>
      </c>
      <c r="F217" s="11" t="s">
        <v>9</v>
      </c>
      <c r="G217" s="11" t="s">
        <v>9</v>
      </c>
      <c r="H217" s="11" t="s">
        <v>30</v>
      </c>
      <c r="I217" s="11" t="s">
        <v>30</v>
      </c>
      <c r="J217" s="11" t="s">
        <v>30</v>
      </c>
      <c r="K217" s="11" t="s">
        <v>30</v>
      </c>
      <c r="L217" s="11" t="s">
        <v>30</v>
      </c>
      <c r="M217" s="11" t="s">
        <v>30</v>
      </c>
      <c r="N217" s="11" t="s">
        <v>9</v>
      </c>
      <c r="O217" s="11" t="s">
        <v>9</v>
      </c>
      <c r="P217" s="11" t="s">
        <v>30</v>
      </c>
      <c r="Q217" s="11" t="s">
        <v>30</v>
      </c>
      <c r="R217" s="11" t="s">
        <v>30</v>
      </c>
      <c r="S217" s="8" cm="1">
        <f t="array" ref="S217">SUMPRODUCT(IFERROR(TIMEVALUE(RIGHT(E217:K217,5))-TIMEVALUE(LEFT(E217:K217,5)),0))</f>
        <v>1.7708333333333335</v>
      </c>
      <c r="T217" s="3" cm="1">
        <f t="array" ref="T217">SUMPRODUCT(IFERROR(TIMEVALUE(RIGHT(L217:R217,5))-TIMEVALUE(LEFT(L217:R217,5)),0))</f>
        <v>1.7708333333333335</v>
      </c>
    </row>
    <row r="218" spans="1:20">
      <c r="A218" s="10" t="s">
        <v>245</v>
      </c>
      <c r="B218" s="10">
        <v>12</v>
      </c>
      <c r="C218" s="11" t="s">
        <v>37</v>
      </c>
      <c r="D218" s="10"/>
      <c r="E218" s="11" t="s">
        <v>84</v>
      </c>
      <c r="F218" s="11" t="s">
        <v>84</v>
      </c>
      <c r="G218" s="11" t="s">
        <v>84</v>
      </c>
      <c r="H218" s="11" t="s">
        <v>9</v>
      </c>
      <c r="I218" s="11" t="s">
        <v>9</v>
      </c>
      <c r="J218" s="11" t="s">
        <v>84</v>
      </c>
      <c r="K218" s="11" t="s">
        <v>84</v>
      </c>
      <c r="L218" s="11" t="s">
        <v>84</v>
      </c>
      <c r="M218" s="11" t="s">
        <v>84</v>
      </c>
      <c r="N218" s="11" t="s">
        <v>84</v>
      </c>
      <c r="O218" s="11" t="s">
        <v>9</v>
      </c>
      <c r="P218" s="11" t="s">
        <v>9</v>
      </c>
      <c r="Q218" s="11" t="s">
        <v>84</v>
      </c>
      <c r="R218" s="11" t="s">
        <v>84</v>
      </c>
      <c r="S218" s="8" cm="1">
        <f t="array" ref="S218">SUMPRODUCT(IFERROR(TIMEVALUE(RIGHT(E218:K218,5))-TIMEVALUE(LEFT(E218:K218,5)),0))</f>
        <v>1.7708333333333335</v>
      </c>
      <c r="T218" s="3" cm="1">
        <f t="array" ref="T218">SUMPRODUCT(IFERROR(TIMEVALUE(RIGHT(L218:R218,5))-TIMEVALUE(LEFT(L218:R218,5)),0))</f>
        <v>1.7708333333333335</v>
      </c>
    </row>
    <row r="219" spans="1:20">
      <c r="A219" s="10" t="s">
        <v>246</v>
      </c>
      <c r="B219" s="10">
        <v>21</v>
      </c>
      <c r="C219" s="11" t="s">
        <v>15</v>
      </c>
      <c r="D219" s="10"/>
      <c r="E219" s="11" t="s">
        <v>8</v>
      </c>
      <c r="F219" s="11" t="s">
        <v>8</v>
      </c>
      <c r="G219" s="11" t="s">
        <v>8</v>
      </c>
      <c r="H219" s="11" t="s">
        <v>8</v>
      </c>
      <c r="I219" s="11" t="s">
        <v>8</v>
      </c>
      <c r="J219" s="11" t="s">
        <v>9</v>
      </c>
      <c r="K219" s="11" t="s">
        <v>9</v>
      </c>
      <c r="L219" s="11" t="s">
        <v>8</v>
      </c>
      <c r="M219" s="11" t="s">
        <v>8</v>
      </c>
      <c r="N219" s="11" t="s">
        <v>8</v>
      </c>
      <c r="O219" s="11" t="s">
        <v>8</v>
      </c>
      <c r="P219" s="11" t="s">
        <v>8</v>
      </c>
      <c r="Q219" s="11" t="s">
        <v>9</v>
      </c>
      <c r="R219" s="11" t="s">
        <v>9</v>
      </c>
      <c r="S219" s="8" cm="1">
        <f t="array" ref="S219">SUMPRODUCT(IFERROR(TIMEVALUE(RIGHT(E219:K219,5))-TIMEVALUE(LEFT(E219:K219,5)),0))</f>
        <v>1.7708333333333335</v>
      </c>
      <c r="T219" s="3" cm="1">
        <f t="array" ref="T219">SUMPRODUCT(IFERROR(TIMEVALUE(RIGHT(L219:R219,5))-TIMEVALUE(LEFT(L219:R219,5)),0))</f>
        <v>1.7708333333333335</v>
      </c>
    </row>
    <row r="220" spans="1:20">
      <c r="A220" s="10" t="s">
        <v>247</v>
      </c>
      <c r="B220" s="10">
        <v>21</v>
      </c>
      <c r="C220" s="11" t="s">
        <v>15</v>
      </c>
      <c r="D220" s="10"/>
      <c r="E220" s="11" t="s">
        <v>84</v>
      </c>
      <c r="F220" s="11" t="s">
        <v>84</v>
      </c>
      <c r="G220" s="11" t="s">
        <v>84</v>
      </c>
      <c r="H220" s="11" t="s">
        <v>84</v>
      </c>
      <c r="I220" s="11" t="s">
        <v>84</v>
      </c>
      <c r="J220" s="11" t="s">
        <v>9</v>
      </c>
      <c r="K220" s="11" t="s">
        <v>9</v>
      </c>
      <c r="L220" s="11" t="s">
        <v>84</v>
      </c>
      <c r="M220" s="11" t="s">
        <v>84</v>
      </c>
      <c r="N220" s="11" t="s">
        <v>84</v>
      </c>
      <c r="O220" s="11" t="s">
        <v>84</v>
      </c>
      <c r="P220" s="11" t="s">
        <v>84</v>
      </c>
      <c r="Q220" s="11" t="s">
        <v>9</v>
      </c>
      <c r="R220" s="11" t="s">
        <v>9</v>
      </c>
      <c r="S220" s="8" cm="1">
        <f t="array" ref="S220">SUMPRODUCT(IFERROR(TIMEVALUE(RIGHT(E220:K220,5))-TIMEVALUE(LEFT(E220:K220,5)),0))</f>
        <v>1.7708333333333335</v>
      </c>
      <c r="T220" s="3" cm="1">
        <f t="array" ref="T220">SUMPRODUCT(IFERROR(TIMEVALUE(RIGHT(L220:R220,5))-TIMEVALUE(LEFT(L220:R220,5)),0))</f>
        <v>1.7708333333333335</v>
      </c>
    </row>
    <row r="221" spans="1:20">
      <c r="A221" s="10" t="s">
        <v>248</v>
      </c>
      <c r="B221" s="10">
        <v>21</v>
      </c>
      <c r="C221" s="11" t="s">
        <v>15</v>
      </c>
      <c r="D221" s="10"/>
      <c r="E221" s="11" t="s">
        <v>84</v>
      </c>
      <c r="F221" s="11" t="s">
        <v>84</v>
      </c>
      <c r="G221" s="11" t="s">
        <v>84</v>
      </c>
      <c r="H221" s="11" t="s">
        <v>84</v>
      </c>
      <c r="I221" s="11" t="s">
        <v>84</v>
      </c>
      <c r="J221" s="11" t="s">
        <v>9</v>
      </c>
      <c r="K221" s="11" t="s">
        <v>9</v>
      </c>
      <c r="L221" s="11" t="s">
        <v>84</v>
      </c>
      <c r="M221" s="11" t="s">
        <v>84</v>
      </c>
      <c r="N221" s="11" t="s">
        <v>84</v>
      </c>
      <c r="O221" s="11" t="s">
        <v>84</v>
      </c>
      <c r="P221" s="11" t="s">
        <v>84</v>
      </c>
      <c r="Q221" s="11" t="s">
        <v>9</v>
      </c>
      <c r="R221" s="11" t="s">
        <v>9</v>
      </c>
      <c r="S221" s="8" cm="1">
        <f t="array" ref="S221">SUMPRODUCT(IFERROR(TIMEVALUE(RIGHT(E221:K221,5))-TIMEVALUE(LEFT(E221:K221,5)),0))</f>
        <v>1.7708333333333335</v>
      </c>
      <c r="T221" s="3" cm="1">
        <f t="array" ref="T221">SUMPRODUCT(IFERROR(TIMEVALUE(RIGHT(L221:R221,5))-TIMEVALUE(LEFT(L221:R221,5)),0))</f>
        <v>1.7708333333333335</v>
      </c>
    </row>
    <row r="222" spans="1:20">
      <c r="A222" s="10" t="s">
        <v>249</v>
      </c>
      <c r="B222" s="10">
        <v>21</v>
      </c>
      <c r="C222" s="11" t="s">
        <v>15</v>
      </c>
      <c r="D222" s="10"/>
      <c r="E222" s="11" t="s">
        <v>84</v>
      </c>
      <c r="F222" s="11" t="s">
        <v>84</v>
      </c>
      <c r="G222" s="11" t="s">
        <v>84</v>
      </c>
      <c r="H222" s="11" t="s">
        <v>84</v>
      </c>
      <c r="I222" s="11" t="s">
        <v>84</v>
      </c>
      <c r="J222" s="11" t="s">
        <v>9</v>
      </c>
      <c r="K222" s="11" t="s">
        <v>9</v>
      </c>
      <c r="L222" s="11" t="s">
        <v>84</v>
      </c>
      <c r="M222" s="11" t="s">
        <v>84</v>
      </c>
      <c r="N222" s="11" t="s">
        <v>84</v>
      </c>
      <c r="O222" s="11" t="s">
        <v>84</v>
      </c>
      <c r="P222" s="11" t="s">
        <v>84</v>
      </c>
      <c r="Q222" s="11" t="s">
        <v>9</v>
      </c>
      <c r="R222" s="11" t="s">
        <v>9</v>
      </c>
      <c r="S222" s="8" cm="1">
        <f t="array" ref="S222">SUMPRODUCT(IFERROR(TIMEVALUE(RIGHT(E222:K222,5))-TIMEVALUE(LEFT(E222:K222,5)),0))</f>
        <v>1.7708333333333335</v>
      </c>
      <c r="T222" s="3" cm="1">
        <f t="array" ref="T222">SUMPRODUCT(IFERROR(TIMEVALUE(RIGHT(L222:R222,5))-TIMEVALUE(LEFT(L222:R222,5)),0))</f>
        <v>1.7708333333333335</v>
      </c>
    </row>
    <row r="223" spans="1:20">
      <c r="A223" s="10" t="s">
        <v>250</v>
      </c>
      <c r="B223" s="10">
        <v>21</v>
      </c>
      <c r="C223" s="11" t="s">
        <v>15</v>
      </c>
      <c r="D223" s="10"/>
      <c r="E223" s="11" t="s">
        <v>84</v>
      </c>
      <c r="F223" s="11" t="s">
        <v>84</v>
      </c>
      <c r="G223" s="11" t="s">
        <v>84</v>
      </c>
      <c r="H223" s="11" t="s">
        <v>84</v>
      </c>
      <c r="I223" s="11" t="s">
        <v>84</v>
      </c>
      <c r="J223" s="11" t="s">
        <v>9</v>
      </c>
      <c r="K223" s="11" t="s">
        <v>9</v>
      </c>
      <c r="L223" s="11" t="s">
        <v>84</v>
      </c>
      <c r="M223" s="11" t="s">
        <v>84</v>
      </c>
      <c r="N223" s="11" t="s">
        <v>84</v>
      </c>
      <c r="O223" s="11" t="s">
        <v>84</v>
      </c>
      <c r="P223" s="11" t="s">
        <v>84</v>
      </c>
      <c r="Q223" s="11" t="s">
        <v>9</v>
      </c>
      <c r="R223" s="11" t="s">
        <v>9</v>
      </c>
      <c r="S223" s="8" cm="1">
        <f t="array" ref="S223">SUMPRODUCT(IFERROR(TIMEVALUE(RIGHT(E223:K223,5))-TIMEVALUE(LEFT(E223:K223,5)),0))</f>
        <v>1.7708333333333335</v>
      </c>
      <c r="T223" s="3" cm="1">
        <f t="array" ref="T223">SUMPRODUCT(IFERROR(TIMEVALUE(RIGHT(L223:R223,5))-TIMEVALUE(LEFT(L223:R223,5)),0))</f>
        <v>1.7708333333333335</v>
      </c>
    </row>
    <row r="224" spans="1:20">
      <c r="A224" s="10" t="s">
        <v>251</v>
      </c>
      <c r="B224" s="10">
        <v>21</v>
      </c>
      <c r="C224" s="11" t="s">
        <v>15</v>
      </c>
      <c r="D224" s="10"/>
      <c r="E224" s="11" t="s">
        <v>84</v>
      </c>
      <c r="F224" s="11" t="s">
        <v>84</v>
      </c>
      <c r="G224" s="11" t="s">
        <v>84</v>
      </c>
      <c r="H224" s="11" t="s">
        <v>84</v>
      </c>
      <c r="I224" s="11" t="s">
        <v>84</v>
      </c>
      <c r="J224" s="11" t="s">
        <v>9</v>
      </c>
      <c r="K224" s="11" t="s">
        <v>9</v>
      </c>
      <c r="L224" s="11" t="s">
        <v>84</v>
      </c>
      <c r="M224" s="11" t="s">
        <v>84</v>
      </c>
      <c r="N224" s="11" t="s">
        <v>84</v>
      </c>
      <c r="O224" s="11" t="s">
        <v>84</v>
      </c>
      <c r="P224" s="11" t="s">
        <v>84</v>
      </c>
      <c r="Q224" s="11" t="s">
        <v>9</v>
      </c>
      <c r="R224" s="11" t="s">
        <v>9</v>
      </c>
      <c r="S224" s="8" cm="1">
        <f t="array" ref="S224">SUMPRODUCT(IFERROR(TIMEVALUE(RIGHT(E224:K224,5))-TIMEVALUE(LEFT(E224:K224,5)),0))</f>
        <v>1.7708333333333335</v>
      </c>
      <c r="T224" s="3" cm="1">
        <f t="array" ref="T224">SUMPRODUCT(IFERROR(TIMEVALUE(RIGHT(L224:R224,5))-TIMEVALUE(LEFT(L224:R224,5)),0))</f>
        <v>1.7708333333333335</v>
      </c>
    </row>
    <row r="225" spans="1:20">
      <c r="A225" s="10" t="s">
        <v>252</v>
      </c>
      <c r="B225" s="10">
        <v>21</v>
      </c>
      <c r="C225" s="11" t="s">
        <v>15</v>
      </c>
      <c r="D225" s="10"/>
      <c r="E225" s="11" t="s">
        <v>84</v>
      </c>
      <c r="F225" s="11" t="s">
        <v>84</v>
      </c>
      <c r="G225" s="11" t="s">
        <v>84</v>
      </c>
      <c r="H225" s="11" t="s">
        <v>84</v>
      </c>
      <c r="I225" s="11" t="s">
        <v>84</v>
      </c>
      <c r="J225" s="11" t="s">
        <v>9</v>
      </c>
      <c r="K225" s="11" t="s">
        <v>9</v>
      </c>
      <c r="L225" s="11" t="s">
        <v>84</v>
      </c>
      <c r="M225" s="11" t="s">
        <v>84</v>
      </c>
      <c r="N225" s="11" t="s">
        <v>84</v>
      </c>
      <c r="O225" s="11" t="s">
        <v>84</v>
      </c>
      <c r="P225" s="11" t="s">
        <v>84</v>
      </c>
      <c r="Q225" s="11" t="s">
        <v>9</v>
      </c>
      <c r="R225" s="11" t="s">
        <v>9</v>
      </c>
      <c r="S225" s="8" cm="1">
        <f t="array" ref="S225">SUMPRODUCT(IFERROR(TIMEVALUE(RIGHT(E225:K225,5))-TIMEVALUE(LEFT(E225:K225,5)),0))</f>
        <v>1.7708333333333335</v>
      </c>
      <c r="T225" s="3" cm="1">
        <f t="array" ref="T225">SUMPRODUCT(IFERROR(TIMEVALUE(RIGHT(L225:R225,5))-TIMEVALUE(LEFT(L225:R225,5)),0))</f>
        <v>1.7708333333333335</v>
      </c>
    </row>
    <row r="226" spans="1:20">
      <c r="A226" s="10" t="s">
        <v>253</v>
      </c>
      <c r="B226" s="10">
        <v>21</v>
      </c>
      <c r="C226" s="11" t="s">
        <v>15</v>
      </c>
      <c r="D226" s="10"/>
      <c r="E226" s="11" t="s">
        <v>84</v>
      </c>
      <c r="F226" s="11" t="s">
        <v>84</v>
      </c>
      <c r="G226" s="11" t="s">
        <v>84</v>
      </c>
      <c r="H226" s="11" t="s">
        <v>84</v>
      </c>
      <c r="I226" s="11" t="s">
        <v>84</v>
      </c>
      <c r="J226" s="11" t="s">
        <v>9</v>
      </c>
      <c r="K226" s="11" t="s">
        <v>9</v>
      </c>
      <c r="L226" s="11" t="s">
        <v>84</v>
      </c>
      <c r="M226" s="11" t="s">
        <v>84</v>
      </c>
      <c r="N226" s="11" t="s">
        <v>84</v>
      </c>
      <c r="O226" s="11" t="s">
        <v>84</v>
      </c>
      <c r="P226" s="11" t="s">
        <v>84</v>
      </c>
      <c r="Q226" s="11" t="s">
        <v>9</v>
      </c>
      <c r="R226" s="11" t="s">
        <v>9</v>
      </c>
      <c r="S226" s="8" cm="1">
        <f t="array" ref="S226">SUMPRODUCT(IFERROR(TIMEVALUE(RIGHT(E226:K226,5))-TIMEVALUE(LEFT(E226:K226,5)),0))</f>
        <v>1.7708333333333335</v>
      </c>
      <c r="T226" s="3" cm="1">
        <f t="array" ref="T226">SUMPRODUCT(IFERROR(TIMEVALUE(RIGHT(L226:R226,5))-TIMEVALUE(LEFT(L226:R226,5)),0))</f>
        <v>1.7708333333333335</v>
      </c>
    </row>
    <row r="227" spans="1:20">
      <c r="A227" s="10" t="s">
        <v>254</v>
      </c>
      <c r="B227" s="10">
        <v>21</v>
      </c>
      <c r="C227" s="11" t="s">
        <v>15</v>
      </c>
      <c r="D227" s="10"/>
      <c r="E227" s="11" t="s">
        <v>84</v>
      </c>
      <c r="F227" s="11" t="s">
        <v>84</v>
      </c>
      <c r="G227" s="11" t="s">
        <v>84</v>
      </c>
      <c r="H227" s="11" t="s">
        <v>84</v>
      </c>
      <c r="I227" s="11" t="s">
        <v>84</v>
      </c>
      <c r="J227" s="11" t="s">
        <v>9</v>
      </c>
      <c r="K227" s="11" t="s">
        <v>9</v>
      </c>
      <c r="L227" s="11" t="s">
        <v>84</v>
      </c>
      <c r="M227" s="11" t="s">
        <v>84</v>
      </c>
      <c r="N227" s="11" t="s">
        <v>84</v>
      </c>
      <c r="O227" s="11" t="s">
        <v>84</v>
      </c>
      <c r="P227" s="11" t="s">
        <v>84</v>
      </c>
      <c r="Q227" s="11" t="s">
        <v>9</v>
      </c>
      <c r="R227" s="11" t="s">
        <v>9</v>
      </c>
      <c r="S227" s="8" cm="1">
        <f t="array" ref="S227">SUMPRODUCT(IFERROR(TIMEVALUE(RIGHT(E227:K227,5))-TIMEVALUE(LEFT(E227:K227,5)),0))</f>
        <v>1.7708333333333335</v>
      </c>
      <c r="T227" s="3" cm="1">
        <f t="array" ref="T227">SUMPRODUCT(IFERROR(TIMEVALUE(RIGHT(L227:R227,5))-TIMEVALUE(LEFT(L227:R227,5)),0))</f>
        <v>1.7708333333333335</v>
      </c>
    </row>
    <row r="228" spans="1:20">
      <c r="A228" s="10" t="s">
        <v>255</v>
      </c>
      <c r="B228" s="10">
        <v>21</v>
      </c>
      <c r="C228" s="11" t="s">
        <v>15</v>
      </c>
      <c r="D228" s="10"/>
      <c r="E228" s="11" t="s">
        <v>12</v>
      </c>
      <c r="F228" s="11" t="s">
        <v>12</v>
      </c>
      <c r="G228" s="11" t="s">
        <v>12</v>
      </c>
      <c r="H228" s="11" t="s">
        <v>12</v>
      </c>
      <c r="I228" s="11" t="s">
        <v>12</v>
      </c>
      <c r="J228" s="11" t="s">
        <v>9</v>
      </c>
      <c r="K228" s="11" t="s">
        <v>9</v>
      </c>
      <c r="L228" s="11" t="s">
        <v>12</v>
      </c>
      <c r="M228" s="11" t="s">
        <v>12</v>
      </c>
      <c r="N228" s="11" t="s">
        <v>12</v>
      </c>
      <c r="O228" s="11" t="s">
        <v>12</v>
      </c>
      <c r="P228" s="11" t="s">
        <v>12</v>
      </c>
      <c r="Q228" s="11" t="s">
        <v>9</v>
      </c>
      <c r="R228" s="11" t="s">
        <v>9</v>
      </c>
      <c r="S228" s="8" cm="1">
        <f t="array" ref="S228">SUMPRODUCT(IFERROR(TIMEVALUE(RIGHT(E228:K228,5))-TIMEVALUE(LEFT(E228:K228,5)),0))</f>
        <v>1.770833333333333</v>
      </c>
      <c r="T228" s="3" cm="1">
        <f t="array" ref="T228">SUMPRODUCT(IFERROR(TIMEVALUE(RIGHT(L228:R228,5))-TIMEVALUE(LEFT(L228:R228,5)),0))</f>
        <v>1.770833333333333</v>
      </c>
    </row>
    <row r="229" spans="1:20">
      <c r="A229" s="10" t="s">
        <v>256</v>
      </c>
      <c r="B229" s="10">
        <v>21</v>
      </c>
      <c r="C229" s="11" t="s">
        <v>15</v>
      </c>
      <c r="D229" s="10"/>
      <c r="E229" s="11" t="s">
        <v>12</v>
      </c>
      <c r="F229" s="11" t="s">
        <v>12</v>
      </c>
      <c r="G229" s="11" t="s">
        <v>12</v>
      </c>
      <c r="H229" s="11" t="s">
        <v>12</v>
      </c>
      <c r="I229" s="11" t="s">
        <v>12</v>
      </c>
      <c r="J229" s="11" t="s">
        <v>9</v>
      </c>
      <c r="K229" s="11" t="s">
        <v>9</v>
      </c>
      <c r="L229" s="11" t="s">
        <v>12</v>
      </c>
      <c r="M229" s="11" t="s">
        <v>12</v>
      </c>
      <c r="N229" s="11" t="s">
        <v>12</v>
      </c>
      <c r="O229" s="11" t="s">
        <v>12</v>
      </c>
      <c r="P229" s="11" t="s">
        <v>12</v>
      </c>
      <c r="Q229" s="11" t="s">
        <v>9</v>
      </c>
      <c r="R229" s="11" t="s">
        <v>9</v>
      </c>
      <c r="S229" s="8" cm="1">
        <f t="array" ref="S229">SUMPRODUCT(IFERROR(TIMEVALUE(RIGHT(E229:K229,5))-TIMEVALUE(LEFT(E229:K229,5)),0))</f>
        <v>1.770833333333333</v>
      </c>
      <c r="T229" s="3" cm="1">
        <f t="array" ref="T229">SUMPRODUCT(IFERROR(TIMEVALUE(RIGHT(L229:R229,5))-TIMEVALUE(LEFT(L229:R229,5)),0))</f>
        <v>1.770833333333333</v>
      </c>
    </row>
    <row r="230" spans="1:20">
      <c r="A230" s="10" t="s">
        <v>257</v>
      </c>
      <c r="B230" s="10">
        <v>21</v>
      </c>
      <c r="C230" s="11" t="s">
        <v>15</v>
      </c>
      <c r="D230" s="10"/>
      <c r="E230" s="11" t="s">
        <v>30</v>
      </c>
      <c r="F230" s="11" t="s">
        <v>30</v>
      </c>
      <c r="G230" s="11" t="s">
        <v>30</v>
      </c>
      <c r="H230" s="11" t="s">
        <v>30</v>
      </c>
      <c r="I230" s="11" t="s">
        <v>30</v>
      </c>
      <c r="J230" s="11" t="s">
        <v>9</v>
      </c>
      <c r="K230" s="11" t="s">
        <v>9</v>
      </c>
      <c r="L230" s="11" t="s">
        <v>30</v>
      </c>
      <c r="M230" s="11" t="s">
        <v>30</v>
      </c>
      <c r="N230" s="11" t="s">
        <v>30</v>
      </c>
      <c r="O230" s="11" t="s">
        <v>30</v>
      </c>
      <c r="P230" s="11" t="s">
        <v>30</v>
      </c>
      <c r="Q230" s="11" t="s">
        <v>9</v>
      </c>
      <c r="R230" s="11" t="s">
        <v>9</v>
      </c>
      <c r="S230" s="8" cm="1">
        <f t="array" ref="S230">SUMPRODUCT(IFERROR(TIMEVALUE(RIGHT(E230:K230,5))-TIMEVALUE(LEFT(E230:K230,5)),0))</f>
        <v>1.7708333333333335</v>
      </c>
      <c r="T230" s="3" cm="1">
        <f t="array" ref="T230">SUMPRODUCT(IFERROR(TIMEVALUE(RIGHT(L230:R230,5))-TIMEVALUE(LEFT(L230:R230,5)),0))</f>
        <v>1.7708333333333335</v>
      </c>
    </row>
    <row r="231" spans="1:20">
      <c r="A231" s="10" t="s">
        <v>258</v>
      </c>
      <c r="B231" s="10">
        <v>21</v>
      </c>
      <c r="C231" s="11" t="s">
        <v>15</v>
      </c>
      <c r="D231" s="10"/>
      <c r="E231" s="11" t="s">
        <v>8</v>
      </c>
      <c r="F231" s="11" t="s">
        <v>9</v>
      </c>
      <c r="G231" s="11" t="s">
        <v>8</v>
      </c>
      <c r="H231" s="11" t="s">
        <v>8</v>
      </c>
      <c r="I231" s="11" t="s">
        <v>8</v>
      </c>
      <c r="J231" s="11" t="s">
        <v>8</v>
      </c>
      <c r="K231" s="11" t="s">
        <v>9</v>
      </c>
      <c r="L231" s="11" t="s">
        <v>8</v>
      </c>
      <c r="M231" s="11" t="s">
        <v>9</v>
      </c>
      <c r="N231" s="11" t="s">
        <v>8</v>
      </c>
      <c r="O231" s="11" t="s">
        <v>8</v>
      </c>
      <c r="P231" s="11" t="s">
        <v>8</v>
      </c>
      <c r="Q231" s="11" t="s">
        <v>8</v>
      </c>
      <c r="R231" s="11" t="s">
        <v>9</v>
      </c>
      <c r="S231" s="8" cm="1">
        <f t="array" ref="S231">SUMPRODUCT(IFERROR(TIMEVALUE(RIGHT(E231:K231,5))-TIMEVALUE(LEFT(E231:K231,5)),0))</f>
        <v>1.7708333333333335</v>
      </c>
      <c r="T231" s="3" cm="1">
        <f t="array" ref="T231">SUMPRODUCT(IFERROR(TIMEVALUE(RIGHT(L231:R231,5))-TIMEVALUE(LEFT(L231:R231,5)),0))</f>
        <v>1.7708333333333335</v>
      </c>
    </row>
    <row r="232" spans="1:20">
      <c r="A232" s="10" t="s">
        <v>259</v>
      </c>
      <c r="B232" s="10">
        <v>21</v>
      </c>
      <c r="C232" s="11" t="s">
        <v>15</v>
      </c>
      <c r="D232" s="10"/>
      <c r="E232" s="11" t="s">
        <v>9</v>
      </c>
      <c r="F232" s="11" t="s">
        <v>8</v>
      </c>
      <c r="G232" s="11" t="s">
        <v>8</v>
      </c>
      <c r="H232" s="11" t="s">
        <v>8</v>
      </c>
      <c r="I232" s="11" t="s">
        <v>8</v>
      </c>
      <c r="J232" s="11" t="s">
        <v>8</v>
      </c>
      <c r="K232" s="11" t="s">
        <v>9</v>
      </c>
      <c r="L232" s="11" t="s">
        <v>9</v>
      </c>
      <c r="M232" s="11" t="s">
        <v>8</v>
      </c>
      <c r="N232" s="11" t="s">
        <v>8</v>
      </c>
      <c r="O232" s="11" t="s">
        <v>8</v>
      </c>
      <c r="P232" s="11" t="s">
        <v>8</v>
      </c>
      <c r="Q232" s="11" t="s">
        <v>8</v>
      </c>
      <c r="R232" s="11" t="s">
        <v>9</v>
      </c>
      <c r="S232" s="8" cm="1">
        <f t="array" ref="S232">SUMPRODUCT(IFERROR(TIMEVALUE(RIGHT(E232:K232,5))-TIMEVALUE(LEFT(E232:K232,5)),0))</f>
        <v>1.7708333333333335</v>
      </c>
      <c r="T232" s="3" cm="1">
        <f t="array" ref="T232">SUMPRODUCT(IFERROR(TIMEVALUE(RIGHT(L232:R232,5))-TIMEVALUE(LEFT(L232:R232,5)),0))</f>
        <v>1.7708333333333335</v>
      </c>
    </row>
    <row r="233" spans="1:20">
      <c r="A233" s="10" t="s">
        <v>260</v>
      </c>
      <c r="B233" s="10">
        <v>21</v>
      </c>
      <c r="C233" s="11" t="s">
        <v>15</v>
      </c>
      <c r="D233" s="10"/>
      <c r="E233" s="11" t="s">
        <v>84</v>
      </c>
      <c r="F233" s="11" t="s">
        <v>9</v>
      </c>
      <c r="G233" s="11" t="s">
        <v>9</v>
      </c>
      <c r="H233" s="11" t="s">
        <v>84</v>
      </c>
      <c r="I233" s="11" t="s">
        <v>84</v>
      </c>
      <c r="J233" s="11" t="s">
        <v>84</v>
      </c>
      <c r="K233" s="11" t="s">
        <v>84</v>
      </c>
      <c r="L233" s="11" t="s">
        <v>84</v>
      </c>
      <c r="M233" s="11" t="s">
        <v>9</v>
      </c>
      <c r="N233" s="11" t="s">
        <v>9</v>
      </c>
      <c r="O233" s="11" t="s">
        <v>84</v>
      </c>
      <c r="P233" s="11" t="s">
        <v>84</v>
      </c>
      <c r="Q233" s="11" t="s">
        <v>84</v>
      </c>
      <c r="R233" s="11" t="s">
        <v>84</v>
      </c>
      <c r="S233" s="8" cm="1">
        <f t="array" ref="S233">SUMPRODUCT(IFERROR(TIMEVALUE(RIGHT(E233:K233,5))-TIMEVALUE(LEFT(E233:K233,5)),0))</f>
        <v>1.7708333333333335</v>
      </c>
      <c r="T233" s="3" cm="1">
        <f t="array" ref="T233">SUMPRODUCT(IFERROR(TIMEVALUE(RIGHT(L233:R233,5))-TIMEVALUE(LEFT(L233:R233,5)),0))</f>
        <v>1.7708333333333335</v>
      </c>
    </row>
    <row r="234" spans="1:20">
      <c r="A234" s="10" t="s">
        <v>261</v>
      </c>
      <c r="B234" s="10">
        <v>21</v>
      </c>
      <c r="C234" s="11" t="s">
        <v>15</v>
      </c>
      <c r="D234" s="10"/>
      <c r="E234" s="11" t="s">
        <v>84</v>
      </c>
      <c r="F234" s="11" t="s">
        <v>84</v>
      </c>
      <c r="G234" s="11" t="s">
        <v>84</v>
      </c>
      <c r="H234" s="11" t="s">
        <v>84</v>
      </c>
      <c r="I234" s="11" t="s">
        <v>84</v>
      </c>
      <c r="J234" s="11" t="s">
        <v>9</v>
      </c>
      <c r="K234" s="11" t="s">
        <v>9</v>
      </c>
      <c r="L234" s="11" t="s">
        <v>84</v>
      </c>
      <c r="M234" s="11" t="s">
        <v>84</v>
      </c>
      <c r="N234" s="11" t="s">
        <v>84</v>
      </c>
      <c r="O234" s="11" t="s">
        <v>84</v>
      </c>
      <c r="P234" s="11" t="s">
        <v>84</v>
      </c>
      <c r="Q234" s="11" t="s">
        <v>9</v>
      </c>
      <c r="R234" s="11" t="s">
        <v>9</v>
      </c>
      <c r="S234" s="8" cm="1">
        <f t="array" ref="S234">SUMPRODUCT(IFERROR(TIMEVALUE(RIGHT(E234:K234,5))-TIMEVALUE(LEFT(E234:K234,5)),0))</f>
        <v>1.7708333333333335</v>
      </c>
      <c r="T234" s="3" cm="1">
        <f t="array" ref="T234">SUMPRODUCT(IFERROR(TIMEVALUE(RIGHT(L234:R234,5))-TIMEVALUE(LEFT(L234:R234,5)),0))</f>
        <v>1.7708333333333335</v>
      </c>
    </row>
    <row r="235" spans="1:20">
      <c r="A235" s="10" t="s">
        <v>262</v>
      </c>
      <c r="B235" s="10">
        <v>21</v>
      </c>
      <c r="C235" s="11" t="s">
        <v>15</v>
      </c>
      <c r="D235" s="10"/>
      <c r="E235" s="11" t="s">
        <v>9</v>
      </c>
      <c r="F235" s="11" t="s">
        <v>84</v>
      </c>
      <c r="G235" s="11" t="s">
        <v>84</v>
      </c>
      <c r="H235" s="11" t="s">
        <v>84</v>
      </c>
      <c r="I235" s="11" t="s">
        <v>84</v>
      </c>
      <c r="J235" s="11" t="s">
        <v>84</v>
      </c>
      <c r="K235" s="11" t="s">
        <v>9</v>
      </c>
      <c r="L235" s="11" t="s">
        <v>9</v>
      </c>
      <c r="M235" s="11" t="s">
        <v>84</v>
      </c>
      <c r="N235" s="11" t="s">
        <v>84</v>
      </c>
      <c r="O235" s="11" t="s">
        <v>84</v>
      </c>
      <c r="P235" s="11" t="s">
        <v>84</v>
      </c>
      <c r="Q235" s="11" t="s">
        <v>84</v>
      </c>
      <c r="R235" s="11" t="s">
        <v>9</v>
      </c>
      <c r="S235" s="8" cm="1">
        <f t="array" ref="S235">SUMPRODUCT(IFERROR(TIMEVALUE(RIGHT(E235:K235,5))-TIMEVALUE(LEFT(E235:K235,5)),0))</f>
        <v>1.7708333333333335</v>
      </c>
      <c r="T235" s="3" cm="1">
        <f t="array" ref="T235">SUMPRODUCT(IFERROR(TIMEVALUE(RIGHT(L235:R235,5))-TIMEVALUE(LEFT(L235:R235,5)),0))</f>
        <v>1.7708333333333335</v>
      </c>
    </row>
    <row r="236" spans="1:20">
      <c r="A236" s="10" t="s">
        <v>263</v>
      </c>
      <c r="B236" s="10">
        <v>21</v>
      </c>
      <c r="C236" s="11" t="s">
        <v>15</v>
      </c>
      <c r="D236" s="10"/>
      <c r="E236" s="11" t="s">
        <v>84</v>
      </c>
      <c r="F236" s="11" t="s">
        <v>84</v>
      </c>
      <c r="G236" s="11" t="s">
        <v>84</v>
      </c>
      <c r="H236" s="11" t="s">
        <v>84</v>
      </c>
      <c r="I236" s="11" t="s">
        <v>9</v>
      </c>
      <c r="J236" s="11" t="s">
        <v>9</v>
      </c>
      <c r="K236" s="11" t="s">
        <v>84</v>
      </c>
      <c r="L236" s="11" t="s">
        <v>84</v>
      </c>
      <c r="M236" s="11" t="s">
        <v>84</v>
      </c>
      <c r="N236" s="11" t="s">
        <v>84</v>
      </c>
      <c r="O236" s="11" t="s">
        <v>84</v>
      </c>
      <c r="P236" s="11" t="s">
        <v>9</v>
      </c>
      <c r="Q236" s="11" t="s">
        <v>9</v>
      </c>
      <c r="R236" s="11" t="s">
        <v>84</v>
      </c>
      <c r="S236" s="8" cm="1">
        <f t="array" ref="S236">SUMPRODUCT(IFERROR(TIMEVALUE(RIGHT(E236:K236,5))-TIMEVALUE(LEFT(E236:K236,5)),0))</f>
        <v>1.7708333333333335</v>
      </c>
      <c r="T236" s="3" cm="1">
        <f t="array" ref="T236">SUMPRODUCT(IFERROR(TIMEVALUE(RIGHT(L236:R236,5))-TIMEVALUE(LEFT(L236:R236,5)),0))</f>
        <v>1.7708333333333335</v>
      </c>
    </row>
    <row r="237" spans="1:20">
      <c r="A237" s="10" t="s">
        <v>264</v>
      </c>
      <c r="B237" s="10">
        <v>21</v>
      </c>
      <c r="C237" s="11" t="s">
        <v>15</v>
      </c>
      <c r="D237" s="10"/>
      <c r="E237" s="11" t="s">
        <v>84</v>
      </c>
      <c r="F237" s="11" t="s">
        <v>84</v>
      </c>
      <c r="G237" s="11" t="s">
        <v>84</v>
      </c>
      <c r="H237" s="11" t="s">
        <v>84</v>
      </c>
      <c r="I237" s="11" t="s">
        <v>84</v>
      </c>
      <c r="J237" s="11" t="s">
        <v>9</v>
      </c>
      <c r="K237" s="11" t="s">
        <v>9</v>
      </c>
      <c r="L237" s="11" t="s">
        <v>84</v>
      </c>
      <c r="M237" s="11" t="s">
        <v>84</v>
      </c>
      <c r="N237" s="11" t="s">
        <v>84</v>
      </c>
      <c r="O237" s="11" t="s">
        <v>84</v>
      </c>
      <c r="P237" s="11" t="s">
        <v>84</v>
      </c>
      <c r="Q237" s="11" t="s">
        <v>9</v>
      </c>
      <c r="R237" s="11" t="s">
        <v>9</v>
      </c>
      <c r="S237" s="8" cm="1">
        <f t="array" ref="S237">SUMPRODUCT(IFERROR(TIMEVALUE(RIGHT(E237:K237,5))-TIMEVALUE(LEFT(E237:K237,5)),0))</f>
        <v>1.7708333333333335</v>
      </c>
      <c r="T237" s="3" cm="1">
        <f t="array" ref="T237">SUMPRODUCT(IFERROR(TIMEVALUE(RIGHT(L237:R237,5))-TIMEVALUE(LEFT(L237:R237,5)),0))</f>
        <v>1.7708333333333335</v>
      </c>
    </row>
    <row r="238" spans="1:20">
      <c r="A238" s="10" t="s">
        <v>265</v>
      </c>
      <c r="B238" s="10">
        <v>21</v>
      </c>
      <c r="C238" s="11" t="s">
        <v>15</v>
      </c>
      <c r="D238" s="10"/>
      <c r="E238" s="11" t="s">
        <v>84</v>
      </c>
      <c r="F238" s="11" t="s">
        <v>84</v>
      </c>
      <c r="G238" s="11" t="s">
        <v>84</v>
      </c>
      <c r="H238" s="11" t="s">
        <v>84</v>
      </c>
      <c r="I238" s="11" t="s">
        <v>84</v>
      </c>
      <c r="J238" s="11" t="s">
        <v>9</v>
      </c>
      <c r="K238" s="11" t="s">
        <v>9</v>
      </c>
      <c r="L238" s="11" t="s">
        <v>84</v>
      </c>
      <c r="M238" s="11" t="s">
        <v>84</v>
      </c>
      <c r="N238" s="11" t="s">
        <v>84</v>
      </c>
      <c r="O238" s="11" t="s">
        <v>84</v>
      </c>
      <c r="P238" s="11" t="s">
        <v>84</v>
      </c>
      <c r="Q238" s="11" t="s">
        <v>9</v>
      </c>
      <c r="R238" s="11" t="s">
        <v>9</v>
      </c>
      <c r="S238" s="8" cm="1">
        <f t="array" ref="S238">SUMPRODUCT(IFERROR(TIMEVALUE(RIGHT(E238:K238,5))-TIMEVALUE(LEFT(E238:K238,5)),0))</f>
        <v>1.7708333333333335</v>
      </c>
      <c r="T238" s="3" cm="1">
        <f t="array" ref="T238">SUMPRODUCT(IFERROR(TIMEVALUE(RIGHT(L238:R238,5))-TIMEVALUE(LEFT(L238:R238,5)),0))</f>
        <v>1.7708333333333335</v>
      </c>
    </row>
    <row r="239" spans="1:20">
      <c r="A239" s="10" t="s">
        <v>266</v>
      </c>
      <c r="B239" s="10">
        <v>21</v>
      </c>
      <c r="C239" s="11" t="s">
        <v>15</v>
      </c>
      <c r="D239" s="10"/>
      <c r="E239" s="11" t="s">
        <v>84</v>
      </c>
      <c r="F239" s="11" t="s">
        <v>84</v>
      </c>
      <c r="G239" s="11" t="s">
        <v>84</v>
      </c>
      <c r="H239" s="11" t="s">
        <v>84</v>
      </c>
      <c r="I239" s="11" t="s">
        <v>84</v>
      </c>
      <c r="J239" s="11" t="s">
        <v>9</v>
      </c>
      <c r="K239" s="11" t="s">
        <v>9</v>
      </c>
      <c r="L239" s="11" t="s">
        <v>84</v>
      </c>
      <c r="M239" s="11" t="s">
        <v>84</v>
      </c>
      <c r="N239" s="11" t="s">
        <v>84</v>
      </c>
      <c r="O239" s="11" t="s">
        <v>84</v>
      </c>
      <c r="P239" s="11" t="s">
        <v>84</v>
      </c>
      <c r="Q239" s="11" t="s">
        <v>9</v>
      </c>
      <c r="R239" s="11" t="s">
        <v>9</v>
      </c>
      <c r="S239" s="8" cm="1">
        <f t="array" ref="S239">SUMPRODUCT(IFERROR(TIMEVALUE(RIGHT(E239:K239,5))-TIMEVALUE(LEFT(E239:K239,5)),0))</f>
        <v>1.7708333333333335</v>
      </c>
      <c r="T239" s="3" cm="1">
        <f t="array" ref="T239">SUMPRODUCT(IFERROR(TIMEVALUE(RIGHT(L239:R239,5))-TIMEVALUE(LEFT(L239:R239,5)),0))</f>
        <v>1.7708333333333335</v>
      </c>
    </row>
    <row r="240" spans="1:20">
      <c r="A240" s="10" t="s">
        <v>267</v>
      </c>
      <c r="B240" s="10">
        <v>21</v>
      </c>
      <c r="C240" s="11" t="s">
        <v>15</v>
      </c>
      <c r="D240" s="10"/>
      <c r="E240" s="11" t="s">
        <v>84</v>
      </c>
      <c r="F240" s="11" t="s">
        <v>84</v>
      </c>
      <c r="G240" s="11" t="s">
        <v>84</v>
      </c>
      <c r="H240" s="11" t="s">
        <v>84</v>
      </c>
      <c r="I240" s="11" t="s">
        <v>84</v>
      </c>
      <c r="J240" s="11" t="s">
        <v>9</v>
      </c>
      <c r="K240" s="11" t="s">
        <v>9</v>
      </c>
      <c r="L240" s="11" t="s">
        <v>84</v>
      </c>
      <c r="M240" s="11" t="s">
        <v>84</v>
      </c>
      <c r="N240" s="11" t="s">
        <v>84</v>
      </c>
      <c r="O240" s="11" t="s">
        <v>84</v>
      </c>
      <c r="P240" s="11" t="s">
        <v>84</v>
      </c>
      <c r="Q240" s="11" t="s">
        <v>9</v>
      </c>
      <c r="R240" s="11" t="s">
        <v>9</v>
      </c>
      <c r="S240" s="8" cm="1">
        <f t="array" ref="S240">SUMPRODUCT(IFERROR(TIMEVALUE(RIGHT(E240:K240,5))-TIMEVALUE(LEFT(E240:K240,5)),0))</f>
        <v>1.7708333333333335</v>
      </c>
      <c r="T240" s="3" cm="1">
        <f t="array" ref="T240">SUMPRODUCT(IFERROR(TIMEVALUE(RIGHT(L240:R240,5))-TIMEVALUE(LEFT(L240:R240,5)),0))</f>
        <v>1.7708333333333335</v>
      </c>
    </row>
    <row r="241" spans="1:20">
      <c r="A241" s="10" t="s">
        <v>268</v>
      </c>
      <c r="B241" s="10">
        <v>21</v>
      </c>
      <c r="C241" s="11" t="s">
        <v>15</v>
      </c>
      <c r="D241" s="10"/>
      <c r="E241" s="11" t="s">
        <v>84</v>
      </c>
      <c r="F241" s="11" t="s">
        <v>9</v>
      </c>
      <c r="G241" s="11" t="s">
        <v>9</v>
      </c>
      <c r="H241" s="11" t="s">
        <v>84</v>
      </c>
      <c r="I241" s="11" t="s">
        <v>84</v>
      </c>
      <c r="J241" s="11" t="s">
        <v>84</v>
      </c>
      <c r="K241" s="11" t="s">
        <v>84</v>
      </c>
      <c r="L241" s="11" t="s">
        <v>84</v>
      </c>
      <c r="M241" s="11" t="s">
        <v>9</v>
      </c>
      <c r="N241" s="11" t="s">
        <v>9</v>
      </c>
      <c r="O241" s="11" t="s">
        <v>84</v>
      </c>
      <c r="P241" s="11" t="s">
        <v>84</v>
      </c>
      <c r="Q241" s="11" t="s">
        <v>84</v>
      </c>
      <c r="R241" s="11" t="s">
        <v>84</v>
      </c>
      <c r="S241" s="8" cm="1">
        <f t="array" ref="S241">SUMPRODUCT(IFERROR(TIMEVALUE(RIGHT(E241:K241,5))-TIMEVALUE(LEFT(E241:K241,5)),0))</f>
        <v>1.7708333333333335</v>
      </c>
      <c r="T241" s="3" cm="1">
        <f t="array" ref="T241">SUMPRODUCT(IFERROR(TIMEVALUE(RIGHT(L241:R241,5))-TIMEVALUE(LEFT(L241:R241,5)),0))</f>
        <v>1.7708333333333335</v>
      </c>
    </row>
    <row r="242" spans="1:20">
      <c r="A242" s="10" t="s">
        <v>269</v>
      </c>
      <c r="B242" s="10">
        <v>21</v>
      </c>
      <c r="C242" s="11" t="s">
        <v>15</v>
      </c>
      <c r="D242" s="10"/>
      <c r="E242" s="11" t="s">
        <v>84</v>
      </c>
      <c r="F242" s="11" t="s">
        <v>84</v>
      </c>
      <c r="G242" s="11" t="s">
        <v>84</v>
      </c>
      <c r="H242" s="11" t="s">
        <v>84</v>
      </c>
      <c r="I242" s="11" t="s">
        <v>9</v>
      </c>
      <c r="J242" s="11" t="s">
        <v>9</v>
      </c>
      <c r="K242" s="11" t="s">
        <v>84</v>
      </c>
      <c r="L242" s="11" t="s">
        <v>84</v>
      </c>
      <c r="M242" s="11" t="s">
        <v>84</v>
      </c>
      <c r="N242" s="11" t="s">
        <v>84</v>
      </c>
      <c r="O242" s="11" t="s">
        <v>84</v>
      </c>
      <c r="P242" s="11" t="s">
        <v>9</v>
      </c>
      <c r="Q242" s="11" t="s">
        <v>9</v>
      </c>
      <c r="R242" s="11" t="s">
        <v>84</v>
      </c>
      <c r="S242" s="8" cm="1">
        <f t="array" ref="S242">SUMPRODUCT(IFERROR(TIMEVALUE(RIGHT(E242:K242,5))-TIMEVALUE(LEFT(E242:K242,5)),0))</f>
        <v>1.7708333333333335</v>
      </c>
      <c r="T242" s="3" cm="1">
        <f t="array" ref="T242">SUMPRODUCT(IFERROR(TIMEVALUE(RIGHT(L242:R242,5))-TIMEVALUE(LEFT(L242:R242,5)),0))</f>
        <v>1.7708333333333335</v>
      </c>
    </row>
    <row r="243" spans="1:20">
      <c r="A243" s="10" t="s">
        <v>270</v>
      </c>
      <c r="B243" s="10">
        <v>21</v>
      </c>
      <c r="C243" s="11" t="s">
        <v>15</v>
      </c>
      <c r="D243" s="10"/>
      <c r="E243" s="11" t="s">
        <v>84</v>
      </c>
      <c r="F243" s="11" t="s">
        <v>84</v>
      </c>
      <c r="G243" s="11" t="s">
        <v>84</v>
      </c>
      <c r="H243" s="11" t="s">
        <v>84</v>
      </c>
      <c r="I243" s="11" t="s">
        <v>84</v>
      </c>
      <c r="J243" s="11" t="s">
        <v>9</v>
      </c>
      <c r="K243" s="11" t="s">
        <v>9</v>
      </c>
      <c r="L243" s="11" t="s">
        <v>84</v>
      </c>
      <c r="M243" s="11" t="s">
        <v>84</v>
      </c>
      <c r="N243" s="11" t="s">
        <v>84</v>
      </c>
      <c r="O243" s="11" t="s">
        <v>84</v>
      </c>
      <c r="P243" s="11" t="s">
        <v>84</v>
      </c>
      <c r="Q243" s="11" t="s">
        <v>9</v>
      </c>
      <c r="R243" s="11" t="s">
        <v>9</v>
      </c>
      <c r="S243" s="8" cm="1">
        <f t="array" ref="S243">SUMPRODUCT(IFERROR(TIMEVALUE(RIGHT(E243:K243,5))-TIMEVALUE(LEFT(E243:K243,5)),0))</f>
        <v>1.7708333333333335</v>
      </c>
      <c r="T243" s="3" cm="1">
        <f t="array" ref="T243">SUMPRODUCT(IFERROR(TIMEVALUE(RIGHT(L243:R243,5))-TIMEVALUE(LEFT(L243:R243,5)),0))</f>
        <v>1.7708333333333335</v>
      </c>
    </row>
    <row r="244" spans="1:20">
      <c r="A244" s="10" t="s">
        <v>271</v>
      </c>
      <c r="B244" s="10">
        <v>21</v>
      </c>
      <c r="C244" s="11" t="s">
        <v>15</v>
      </c>
      <c r="D244" s="10"/>
      <c r="E244" s="11" t="s">
        <v>84</v>
      </c>
      <c r="F244" s="11" t="s">
        <v>84</v>
      </c>
      <c r="G244" s="11" t="s">
        <v>84</v>
      </c>
      <c r="H244" s="11" t="s">
        <v>84</v>
      </c>
      <c r="I244" s="11" t="s">
        <v>84</v>
      </c>
      <c r="J244" s="11" t="s">
        <v>9</v>
      </c>
      <c r="K244" s="11" t="s">
        <v>9</v>
      </c>
      <c r="L244" s="11" t="s">
        <v>84</v>
      </c>
      <c r="M244" s="11" t="s">
        <v>84</v>
      </c>
      <c r="N244" s="11" t="s">
        <v>84</v>
      </c>
      <c r="O244" s="11" t="s">
        <v>84</v>
      </c>
      <c r="P244" s="11" t="s">
        <v>84</v>
      </c>
      <c r="Q244" s="11" t="s">
        <v>9</v>
      </c>
      <c r="R244" s="11" t="s">
        <v>9</v>
      </c>
      <c r="S244" s="8" cm="1">
        <f t="array" ref="S244">SUMPRODUCT(IFERROR(TIMEVALUE(RIGHT(E244:K244,5))-TIMEVALUE(LEFT(E244:K244,5)),0))</f>
        <v>1.7708333333333335</v>
      </c>
      <c r="T244" s="3" cm="1">
        <f t="array" ref="T244">SUMPRODUCT(IFERROR(TIMEVALUE(RIGHT(L244:R244,5))-TIMEVALUE(LEFT(L244:R244,5)),0))</f>
        <v>1.7708333333333335</v>
      </c>
    </row>
    <row r="245" spans="1:20">
      <c r="A245" s="10" t="s">
        <v>272</v>
      </c>
      <c r="B245" s="10">
        <v>21</v>
      </c>
      <c r="C245" s="11" t="s">
        <v>15</v>
      </c>
      <c r="D245" s="10"/>
      <c r="E245" s="11" t="s">
        <v>84</v>
      </c>
      <c r="F245" s="11" t="s">
        <v>84</v>
      </c>
      <c r="G245" s="11" t="s">
        <v>84</v>
      </c>
      <c r="H245" s="11" t="s">
        <v>84</v>
      </c>
      <c r="I245" s="11" t="s">
        <v>84</v>
      </c>
      <c r="J245" s="11" t="s">
        <v>9</v>
      </c>
      <c r="K245" s="11" t="s">
        <v>9</v>
      </c>
      <c r="L245" s="11" t="s">
        <v>84</v>
      </c>
      <c r="M245" s="11" t="s">
        <v>84</v>
      </c>
      <c r="N245" s="11" t="s">
        <v>84</v>
      </c>
      <c r="O245" s="11" t="s">
        <v>84</v>
      </c>
      <c r="P245" s="11" t="s">
        <v>84</v>
      </c>
      <c r="Q245" s="11" t="s">
        <v>9</v>
      </c>
      <c r="R245" s="11" t="s">
        <v>9</v>
      </c>
      <c r="S245" s="8" cm="1">
        <f t="array" ref="S245">SUMPRODUCT(IFERROR(TIMEVALUE(RIGHT(E245:K245,5))-TIMEVALUE(LEFT(E245:K245,5)),0))</f>
        <v>1.7708333333333335</v>
      </c>
      <c r="T245" s="3" cm="1">
        <f t="array" ref="T245">SUMPRODUCT(IFERROR(TIMEVALUE(RIGHT(L245:R245,5))-TIMEVALUE(LEFT(L245:R245,5)),0))</f>
        <v>1.7708333333333335</v>
      </c>
    </row>
    <row r="246" spans="1:20">
      <c r="A246" s="10" t="s">
        <v>273</v>
      </c>
      <c r="B246" s="10">
        <v>21</v>
      </c>
      <c r="C246" s="11" t="s">
        <v>15</v>
      </c>
      <c r="D246" s="10"/>
      <c r="E246" s="11" t="s">
        <v>84</v>
      </c>
      <c r="F246" s="11" t="s">
        <v>84</v>
      </c>
      <c r="G246" s="11" t="s">
        <v>84</v>
      </c>
      <c r="H246" s="11" t="s">
        <v>84</v>
      </c>
      <c r="I246" s="11" t="s">
        <v>84</v>
      </c>
      <c r="J246" s="11" t="s">
        <v>9</v>
      </c>
      <c r="K246" s="11" t="s">
        <v>9</v>
      </c>
      <c r="L246" s="11" t="s">
        <v>84</v>
      </c>
      <c r="M246" s="11" t="s">
        <v>84</v>
      </c>
      <c r="N246" s="11" t="s">
        <v>84</v>
      </c>
      <c r="O246" s="11" t="s">
        <v>84</v>
      </c>
      <c r="P246" s="11" t="s">
        <v>84</v>
      </c>
      <c r="Q246" s="11" t="s">
        <v>9</v>
      </c>
      <c r="R246" s="11" t="s">
        <v>9</v>
      </c>
      <c r="S246" s="8" cm="1">
        <f t="array" ref="S246">SUMPRODUCT(IFERROR(TIMEVALUE(RIGHT(E246:K246,5))-TIMEVALUE(LEFT(E246:K246,5)),0))</f>
        <v>1.7708333333333335</v>
      </c>
      <c r="T246" s="3" cm="1">
        <f t="array" ref="T246">SUMPRODUCT(IFERROR(TIMEVALUE(RIGHT(L246:R246,5))-TIMEVALUE(LEFT(L246:R246,5)),0))</f>
        <v>1.7708333333333335</v>
      </c>
    </row>
    <row r="247" spans="1:20">
      <c r="A247" s="10" t="s">
        <v>274</v>
      </c>
      <c r="B247" s="10">
        <v>21</v>
      </c>
      <c r="C247" s="11" t="s">
        <v>15</v>
      </c>
      <c r="D247" s="10"/>
      <c r="E247" s="11" t="s">
        <v>84</v>
      </c>
      <c r="F247" s="11" t="s">
        <v>84</v>
      </c>
      <c r="G247" s="11" t="s">
        <v>84</v>
      </c>
      <c r="H247" s="11" t="s">
        <v>84</v>
      </c>
      <c r="I247" s="11" t="s">
        <v>84</v>
      </c>
      <c r="J247" s="11" t="s">
        <v>9</v>
      </c>
      <c r="K247" s="11" t="s">
        <v>9</v>
      </c>
      <c r="L247" s="11" t="s">
        <v>84</v>
      </c>
      <c r="M247" s="11" t="s">
        <v>84</v>
      </c>
      <c r="N247" s="11" t="s">
        <v>84</v>
      </c>
      <c r="O247" s="11" t="s">
        <v>84</v>
      </c>
      <c r="P247" s="11" t="s">
        <v>84</v>
      </c>
      <c r="Q247" s="11" t="s">
        <v>9</v>
      </c>
      <c r="R247" s="11" t="s">
        <v>9</v>
      </c>
      <c r="S247" s="8" cm="1">
        <f t="array" ref="S247">SUMPRODUCT(IFERROR(TIMEVALUE(RIGHT(E247:K247,5))-TIMEVALUE(LEFT(E247:K247,5)),0))</f>
        <v>1.7708333333333335</v>
      </c>
      <c r="T247" s="3" cm="1">
        <f t="array" ref="T247">SUMPRODUCT(IFERROR(TIMEVALUE(RIGHT(L247:R247,5))-TIMEVALUE(LEFT(L247:R247,5)),0))</f>
        <v>1.7708333333333335</v>
      </c>
    </row>
    <row r="248" spans="1:20">
      <c r="A248" s="10" t="s">
        <v>275</v>
      </c>
      <c r="B248" s="10">
        <v>21</v>
      </c>
      <c r="C248" s="11" t="s">
        <v>15</v>
      </c>
      <c r="D248" s="10"/>
      <c r="E248" s="11" t="s">
        <v>84</v>
      </c>
      <c r="F248" s="11" t="s">
        <v>84</v>
      </c>
      <c r="G248" s="11" t="s">
        <v>84</v>
      </c>
      <c r="H248" s="11" t="s">
        <v>84</v>
      </c>
      <c r="I248" s="11" t="s">
        <v>84</v>
      </c>
      <c r="J248" s="11" t="s">
        <v>9</v>
      </c>
      <c r="K248" s="11" t="s">
        <v>9</v>
      </c>
      <c r="L248" s="11" t="s">
        <v>84</v>
      </c>
      <c r="M248" s="11" t="s">
        <v>84</v>
      </c>
      <c r="N248" s="11" t="s">
        <v>84</v>
      </c>
      <c r="O248" s="11" t="s">
        <v>84</v>
      </c>
      <c r="P248" s="11" t="s">
        <v>84</v>
      </c>
      <c r="Q248" s="11" t="s">
        <v>9</v>
      </c>
      <c r="R248" s="11" t="s">
        <v>9</v>
      </c>
      <c r="S248" s="8" cm="1">
        <f t="array" ref="S248">SUMPRODUCT(IFERROR(TIMEVALUE(RIGHT(E248:K248,5))-TIMEVALUE(LEFT(E248:K248,5)),0))</f>
        <v>1.7708333333333335</v>
      </c>
      <c r="T248" s="3" cm="1">
        <f t="array" ref="T248">SUMPRODUCT(IFERROR(TIMEVALUE(RIGHT(L248:R248,5))-TIMEVALUE(LEFT(L248:R248,5)),0))</f>
        <v>1.7708333333333335</v>
      </c>
    </row>
    <row r="249" spans="1:20">
      <c r="A249" s="10" t="s">
        <v>276</v>
      </c>
      <c r="B249" s="10">
        <v>21</v>
      </c>
      <c r="C249" s="11" t="s">
        <v>15</v>
      </c>
      <c r="D249" s="10"/>
      <c r="E249" s="11" t="s">
        <v>84</v>
      </c>
      <c r="F249" s="11" t="s">
        <v>84</v>
      </c>
      <c r="G249" s="11" t="s">
        <v>84</v>
      </c>
      <c r="H249" s="11" t="s">
        <v>84</v>
      </c>
      <c r="I249" s="11" t="s">
        <v>84</v>
      </c>
      <c r="J249" s="11" t="s">
        <v>9</v>
      </c>
      <c r="K249" s="11" t="s">
        <v>9</v>
      </c>
      <c r="L249" s="11" t="s">
        <v>84</v>
      </c>
      <c r="M249" s="11" t="s">
        <v>84</v>
      </c>
      <c r="N249" s="11" t="s">
        <v>84</v>
      </c>
      <c r="O249" s="11" t="s">
        <v>84</v>
      </c>
      <c r="P249" s="11" t="s">
        <v>84</v>
      </c>
      <c r="Q249" s="11" t="s">
        <v>9</v>
      </c>
      <c r="R249" s="11" t="s">
        <v>9</v>
      </c>
      <c r="S249" s="8" cm="1">
        <f t="array" ref="S249">SUMPRODUCT(IFERROR(TIMEVALUE(RIGHT(E249:K249,5))-TIMEVALUE(LEFT(E249:K249,5)),0))</f>
        <v>1.7708333333333335</v>
      </c>
      <c r="T249" s="3" cm="1">
        <f t="array" ref="T249">SUMPRODUCT(IFERROR(TIMEVALUE(RIGHT(L249:R249,5))-TIMEVALUE(LEFT(L249:R249,5)),0))</f>
        <v>1.7708333333333335</v>
      </c>
    </row>
    <row r="250" spans="1:20">
      <c r="A250" s="10" t="s">
        <v>277</v>
      </c>
      <c r="B250" s="10">
        <v>21</v>
      </c>
      <c r="C250" s="11" t="s">
        <v>15</v>
      </c>
      <c r="D250" s="10"/>
      <c r="E250" s="11" t="s">
        <v>84</v>
      </c>
      <c r="F250" s="11" t="s">
        <v>84</v>
      </c>
      <c r="G250" s="11" t="s">
        <v>84</v>
      </c>
      <c r="H250" s="11" t="s">
        <v>84</v>
      </c>
      <c r="I250" s="11" t="s">
        <v>84</v>
      </c>
      <c r="J250" s="11" t="s">
        <v>9</v>
      </c>
      <c r="K250" s="11" t="s">
        <v>9</v>
      </c>
      <c r="L250" s="11" t="s">
        <v>84</v>
      </c>
      <c r="M250" s="11" t="s">
        <v>84</v>
      </c>
      <c r="N250" s="11" t="s">
        <v>84</v>
      </c>
      <c r="O250" s="11" t="s">
        <v>84</v>
      </c>
      <c r="P250" s="11" t="s">
        <v>84</v>
      </c>
      <c r="Q250" s="11" t="s">
        <v>9</v>
      </c>
      <c r="R250" s="11" t="s">
        <v>9</v>
      </c>
      <c r="S250" s="8" cm="1">
        <f t="array" ref="S250">SUMPRODUCT(IFERROR(TIMEVALUE(RIGHT(E250:K250,5))-TIMEVALUE(LEFT(E250:K250,5)),0))</f>
        <v>1.7708333333333335</v>
      </c>
      <c r="T250" s="3" cm="1">
        <f t="array" ref="T250">SUMPRODUCT(IFERROR(TIMEVALUE(RIGHT(L250:R250,5))-TIMEVALUE(LEFT(L250:R250,5)),0))</f>
        <v>1.7708333333333335</v>
      </c>
    </row>
    <row r="251" spans="1:20">
      <c r="A251" s="10" t="s">
        <v>278</v>
      </c>
      <c r="B251" s="10">
        <v>21</v>
      </c>
      <c r="C251" s="11" t="s">
        <v>15</v>
      </c>
      <c r="D251" s="10"/>
      <c r="E251" s="11" t="s">
        <v>84</v>
      </c>
      <c r="F251" s="11" t="s">
        <v>84</v>
      </c>
      <c r="G251" s="11" t="s">
        <v>84</v>
      </c>
      <c r="H251" s="11" t="s">
        <v>9</v>
      </c>
      <c r="I251" s="11" t="s">
        <v>9</v>
      </c>
      <c r="J251" s="11" t="s">
        <v>84</v>
      </c>
      <c r="K251" s="11" t="s">
        <v>84</v>
      </c>
      <c r="L251" s="11" t="s">
        <v>84</v>
      </c>
      <c r="M251" s="11" t="s">
        <v>84</v>
      </c>
      <c r="N251" s="11" t="s">
        <v>84</v>
      </c>
      <c r="O251" s="11" t="s">
        <v>9</v>
      </c>
      <c r="P251" s="11" t="s">
        <v>9</v>
      </c>
      <c r="Q251" s="11" t="s">
        <v>84</v>
      </c>
      <c r="R251" s="11" t="s">
        <v>84</v>
      </c>
      <c r="S251" s="8" cm="1">
        <f t="array" ref="S251">SUMPRODUCT(IFERROR(TIMEVALUE(RIGHT(E251:K251,5))-TIMEVALUE(LEFT(E251:K251,5)),0))</f>
        <v>1.7708333333333335</v>
      </c>
      <c r="T251" s="3" cm="1">
        <f t="array" ref="T251">SUMPRODUCT(IFERROR(TIMEVALUE(RIGHT(L251:R251,5))-TIMEVALUE(LEFT(L251:R251,5)),0))</f>
        <v>1.7708333333333335</v>
      </c>
    </row>
    <row r="252" spans="1:20">
      <c r="A252" s="10" t="s">
        <v>279</v>
      </c>
      <c r="B252" s="10">
        <v>21</v>
      </c>
      <c r="C252" s="11" t="s">
        <v>15</v>
      </c>
      <c r="D252" s="10"/>
      <c r="E252" s="11" t="s">
        <v>84</v>
      </c>
      <c r="F252" s="11" t="s">
        <v>84</v>
      </c>
      <c r="G252" s="11" t="s">
        <v>84</v>
      </c>
      <c r="H252" s="11" t="s">
        <v>84</v>
      </c>
      <c r="I252" s="11" t="s">
        <v>84</v>
      </c>
      <c r="J252" s="11" t="s">
        <v>9</v>
      </c>
      <c r="K252" s="11" t="s">
        <v>9</v>
      </c>
      <c r="L252" s="11" t="s">
        <v>84</v>
      </c>
      <c r="M252" s="11" t="s">
        <v>84</v>
      </c>
      <c r="N252" s="11" t="s">
        <v>84</v>
      </c>
      <c r="O252" s="11" t="s">
        <v>84</v>
      </c>
      <c r="P252" s="11" t="s">
        <v>84</v>
      </c>
      <c r="Q252" s="11" t="s">
        <v>9</v>
      </c>
      <c r="R252" s="11" t="s">
        <v>9</v>
      </c>
      <c r="S252" s="8" cm="1">
        <f t="array" ref="S252">SUMPRODUCT(IFERROR(TIMEVALUE(RIGHT(E252:K252,5))-TIMEVALUE(LEFT(E252:K252,5)),0))</f>
        <v>1.7708333333333335</v>
      </c>
      <c r="T252" s="3" cm="1">
        <f t="array" ref="T252">SUMPRODUCT(IFERROR(TIMEVALUE(RIGHT(L252:R252,5))-TIMEVALUE(LEFT(L252:R252,5)),0))</f>
        <v>1.7708333333333335</v>
      </c>
    </row>
    <row r="253" spans="1:20">
      <c r="A253" s="10" t="s">
        <v>280</v>
      </c>
      <c r="B253" s="10">
        <v>21</v>
      </c>
      <c r="C253" s="11" t="s">
        <v>15</v>
      </c>
      <c r="D253" s="10"/>
      <c r="E253" s="11" t="s">
        <v>84</v>
      </c>
      <c r="F253" s="11" t="s">
        <v>9</v>
      </c>
      <c r="G253" s="11" t="s">
        <v>9</v>
      </c>
      <c r="H253" s="11" t="s">
        <v>84</v>
      </c>
      <c r="I253" s="11" t="s">
        <v>84</v>
      </c>
      <c r="J253" s="11" t="s">
        <v>84</v>
      </c>
      <c r="K253" s="11" t="s">
        <v>84</v>
      </c>
      <c r="L253" s="11" t="s">
        <v>84</v>
      </c>
      <c r="M253" s="11" t="s">
        <v>9</v>
      </c>
      <c r="N253" s="11" t="s">
        <v>9</v>
      </c>
      <c r="O253" s="11" t="s">
        <v>84</v>
      </c>
      <c r="P253" s="11" t="s">
        <v>84</v>
      </c>
      <c r="Q253" s="11" t="s">
        <v>84</v>
      </c>
      <c r="R253" s="11" t="s">
        <v>84</v>
      </c>
      <c r="S253" s="8" cm="1">
        <f t="array" ref="S253">SUMPRODUCT(IFERROR(TIMEVALUE(RIGHT(E253:K253,5))-TIMEVALUE(LEFT(E253:K253,5)),0))</f>
        <v>1.7708333333333335</v>
      </c>
      <c r="T253" s="3" cm="1">
        <f t="array" ref="T253">SUMPRODUCT(IFERROR(TIMEVALUE(RIGHT(L253:R253,5))-TIMEVALUE(LEFT(L253:R253,5)),0))</f>
        <v>1.7708333333333335</v>
      </c>
    </row>
    <row r="254" spans="1:20">
      <c r="A254" s="10" t="s">
        <v>281</v>
      </c>
      <c r="B254" s="10">
        <v>21</v>
      </c>
      <c r="C254" s="11" t="s">
        <v>15</v>
      </c>
      <c r="D254" s="10"/>
      <c r="E254" s="11" t="s">
        <v>84</v>
      </c>
      <c r="F254" s="11" t="s">
        <v>84</v>
      </c>
      <c r="G254" s="11" t="s">
        <v>9</v>
      </c>
      <c r="H254" s="11" t="s">
        <v>9</v>
      </c>
      <c r="I254" s="11" t="s">
        <v>84</v>
      </c>
      <c r="J254" s="11" t="s">
        <v>84</v>
      </c>
      <c r="K254" s="11" t="s">
        <v>84</v>
      </c>
      <c r="L254" s="11" t="s">
        <v>84</v>
      </c>
      <c r="M254" s="11" t="s">
        <v>84</v>
      </c>
      <c r="N254" s="11" t="s">
        <v>9</v>
      </c>
      <c r="O254" s="11" t="s">
        <v>9</v>
      </c>
      <c r="P254" s="11" t="s">
        <v>84</v>
      </c>
      <c r="Q254" s="11" t="s">
        <v>84</v>
      </c>
      <c r="R254" s="11" t="s">
        <v>84</v>
      </c>
      <c r="S254" s="8" cm="1">
        <f t="array" ref="S254">SUMPRODUCT(IFERROR(TIMEVALUE(RIGHT(E254:K254,5))-TIMEVALUE(LEFT(E254:K254,5)),0))</f>
        <v>1.7708333333333335</v>
      </c>
      <c r="T254" s="3" cm="1">
        <f t="array" ref="T254">SUMPRODUCT(IFERROR(TIMEVALUE(RIGHT(L254:R254,5))-TIMEVALUE(LEFT(L254:R254,5)),0))</f>
        <v>1.7708333333333335</v>
      </c>
    </row>
  </sheetData>
  <conditionalFormatting sqref="E2:R2">
    <cfRule type="cellIs" dxfId="13" priority="14" operator="equal">
      <formula>"WO"</formula>
    </cfRule>
  </conditionalFormatting>
  <conditionalFormatting sqref="E2:R2">
    <cfRule type="cellIs" dxfId="12" priority="13" operator="equal">
      <formula>"Leave"</formula>
    </cfRule>
  </conditionalFormatting>
  <conditionalFormatting sqref="U2:U3">
    <cfRule type="cellIs" dxfId="11" priority="12" operator="equal">
      <formula>"WO"</formula>
    </cfRule>
  </conditionalFormatting>
  <conditionalFormatting sqref="U2:U3">
    <cfRule type="cellIs" dxfId="10" priority="11" operator="equal">
      <formula>"Leave"</formula>
    </cfRule>
  </conditionalFormatting>
  <conditionalFormatting sqref="X5:X21">
    <cfRule type="cellIs" dxfId="9" priority="10" operator="equal">
      <formula>"WO"</formula>
    </cfRule>
  </conditionalFormatting>
  <conditionalFormatting sqref="X5:X21">
    <cfRule type="cellIs" dxfId="8" priority="9" operator="equal">
      <formula>"Leave"</formula>
    </cfRule>
  </conditionalFormatting>
  <conditionalFormatting sqref="Y5:Y20">
    <cfRule type="cellIs" dxfId="7" priority="8" operator="equal">
      <formula>"WO"</formula>
    </cfRule>
  </conditionalFormatting>
  <conditionalFormatting sqref="Y5:Y20">
    <cfRule type="cellIs" dxfId="6" priority="7" operator="equal">
      <formula>"Leave"</formula>
    </cfRule>
  </conditionalFormatting>
  <conditionalFormatting sqref="Y21">
    <cfRule type="cellIs" dxfId="5" priority="6" operator="equal">
      <formula>"WO"</formula>
    </cfRule>
  </conditionalFormatting>
  <conditionalFormatting sqref="Y21">
    <cfRule type="cellIs" dxfId="4" priority="5" operator="equal">
      <formula>"Leave"</formula>
    </cfRule>
  </conditionalFormatting>
  <conditionalFormatting sqref="S4:S254">
    <cfRule type="cellIs" dxfId="3" priority="4" operator="equal">
      <formula>"WO"</formula>
    </cfRule>
  </conditionalFormatting>
  <conditionalFormatting sqref="S4:S254">
    <cfRule type="cellIs" dxfId="2" priority="3" operator="equal">
      <formula>"Leave"</formula>
    </cfRule>
  </conditionalFormatting>
  <conditionalFormatting sqref="T4:T254">
    <cfRule type="cellIs" dxfId="1" priority="2" operator="equal">
      <formula>"WO"</formula>
    </cfRule>
  </conditionalFormatting>
  <conditionalFormatting sqref="T4:T254">
    <cfRule type="cellIs" dxfId="0" priority="1" operator="equal">
      <formula>"Leave"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2026-09-12T10:14:23Z</dcterms:created>
  <dcterms:modified xsi:type="dcterms:W3CDTF">2026-09-13T10:11:11Z</dcterms:modified>
  <cp:category/>
  <cp:contentStatus/>
</cp:coreProperties>
</file>